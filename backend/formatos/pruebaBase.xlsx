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SIONES" sheetId="1" r:id="rId4"/>
    <sheet state="hidden" name="LOGOS" sheetId="2" r:id="rId5"/>
    <sheet state="visible" name="RELACION FACTURAS" sheetId="3" r:id="rId6"/>
    <sheet state="hidden" name="NEW DATA" sheetId="4" r:id="rId7"/>
    <sheet state="hidden" name="FAMILIA DE CARGOS" sheetId="5" r:id="rId8"/>
    <sheet state="hidden" name="DATA" sheetId="6" r:id="rId9"/>
  </sheets>
  <definedNames>
    <definedName name="ALMACENES_GENERALES_DE_DEPÓSITO_DE_CAFÉ_S.A___ALMACAFÉ">LOGOS!#REF!</definedName>
    <definedName name="CALD">DATA!#REF!</definedName>
    <definedName name="CARGO">DATA!#REF!</definedName>
    <definedName name="CARGOS">DATA!#REF!</definedName>
    <definedName name="CARGOSS">DATA!#REF!</definedName>
    <definedName name="Dependencia">'NEW DATA'!#REF!</definedName>
    <definedName name="DIVISION">DATA!#REF!</definedName>
    <definedName name="EST">DATA!#REF!</definedName>
    <definedName name="FEDERACIÓN_NACIONAL_DE_CAFETEROS_DE_COLOMBIA">LOGOS!#REF!</definedName>
    <definedName name="Gastos1">#REF!,#REF!,#REF!,#REF!,#REF!</definedName>
    <definedName name="Gastos10">#REF!,#REF!,#REF!</definedName>
    <definedName name="Gastos11">#REF!,#REF!,#REF!</definedName>
    <definedName name="Gastos12">#REF!,#REF!,#REF!,#REF!,#REF!</definedName>
    <definedName name="Gastos2">#REF!,#REF!,#REF!,#REF!,#REF!</definedName>
    <definedName name="Gastos3">#REF!,#REF!,#REF!,#REF!,#REF!</definedName>
    <definedName name="Gastos4">#REF!,#REF!,#REF!,#REF!,#REF!</definedName>
    <definedName name="Gastos5">#REF!,#REF!,#REF!,#REF!,#REF!</definedName>
    <definedName name="Gastos6">#REF!,#REF!,#REF!</definedName>
    <definedName name="Gastos7">#REF!,#REF!,#REF!,#REF!,#REF!</definedName>
    <definedName name="Gastos8">#REF!,#REF!,#REF!,#REF!,#REF!</definedName>
    <definedName name="Gastos9">#REF!,#REF!,#REF!</definedName>
    <definedName name="GastosT">#REF!,#REF!,#REF!,#REF!,#REF!</definedName>
    <definedName name="GRUPO">DATA!#REF!</definedName>
    <definedName name="LOGI">INDIRECT(COMISIONES!$C$2)</definedName>
    <definedName name="LOGO">INDIRECT("Picture 57")</definedName>
    <definedName name="LOGOS">INDIRECT("Picture 57")</definedName>
    <definedName name="LOGOSS">INDIRECT(COMISIONES!$C$2)</definedName>
    <definedName name="LUGAR">COMISIONES!#REF!</definedName>
    <definedName name="OFICINA_CENTRAL">'NEW DATA'!#REF!</definedName>
    <definedName name="OPE">DATA!#REF!</definedName>
    <definedName name="UDS">DATA!#REF!</definedName>
    <definedName name="V">DATA!$D$98</definedName>
    <definedName name="LOGOFNC">LOGOS!$C$1</definedName>
    <definedName name="DIA">DATA!$K$2:$K$13</definedName>
    <definedName name="COMITE_DEPARTAMENTAL_DE_CAFETEROS_DE_BOYACA">'NEW DATA'!$J$1:$J$6</definedName>
    <definedName name="MES">DATA!$J$2:$J$13</definedName>
    <definedName name="COMITE_DEPARTAMENTAL_DE_CAFETEROS_DE_NORTE_DE_SANTANDER">'NEW DATA'!$R$1:$R$9</definedName>
    <definedName name="MEDIODEPAGO">COMISIONES!$IB$1:$IB$4</definedName>
    <definedName name="COMITE_DEPARTAMENTAL_DE_CAFETEROS_DE_QUINDIO">'NEW DATA'!$S$1:$S$10</definedName>
    <definedName name="COMITE_DEPARTAMENTAL_DE_CAFETEROS_DE_CAUCA">'NEW DATA'!$L$1:$L$12</definedName>
    <definedName name="COMITE_DEPARTAMENTAL_DE_CAFETEROS_DE_VALLE">'NEW DATA'!$W$1:$W$12</definedName>
    <definedName name="BUENCAFE_LIOFILIZADO_DE_COLOMBIA">'NEW DATA'!$G$1:$G$10</definedName>
    <definedName name="LOGOALMACAFE">LOGOS!$C$2</definedName>
    <definedName name="COM">DATA!$D$15:$D$23</definedName>
    <definedName name="FIN">DATA!$D$30:$D$35</definedName>
    <definedName name="Anticipos">#REF!</definedName>
    <definedName name="CENTRO_NACIONAL_DE_INVESTIGACIONES_DE_CAFE_CENICAFE">'NEW DATA'!$H$1:$H$30</definedName>
    <definedName name="Nombre_Apellidos">#REF!</definedName>
    <definedName name="Nombres">#REF!</definedName>
    <definedName name="COMITE_DEPARTAMENTAL_DE_CAFETEROS_DE_CESAR_Y_GUAJIRA">'NEW DATA'!$M$1:$M$8</definedName>
    <definedName name="COMU">DATA!$D$24:$D$29</definedName>
    <definedName name="BCAFE">DATA!$D$50:$D$97</definedName>
    <definedName name="PUESTOS">DATA!$E$1:$E$46</definedName>
    <definedName name="x">DATA!$M$11</definedName>
    <definedName name="IE">DATA!$O$2:$O$4</definedName>
    <definedName name="COMITE_DEPARTAMENTAL_DE_CAFETEROS_DE_SANTANDER">'NEW DATA'!$U$1:$U$7</definedName>
    <definedName name="Dependencias">'NEW DATA'!$AC$1:$AC$23</definedName>
    <definedName name="COMITE_DEPARTAMENTAL_DE_CAFETEROS_DE_MAGDALENA">'NEW DATA'!$P$1:$P$6</definedName>
    <definedName name="TIPO">DATA!$P$1:$P$3</definedName>
    <definedName name="TotalA">#REF!</definedName>
    <definedName name="SEDE_BOGOTA">'NEW DATA'!$AA$1:$AA$48</definedName>
    <definedName name="GEN">DATA!$D$36:$D$41</definedName>
    <definedName name="MEDIO">COMISIONES!$IB$2:$IB$4</definedName>
    <definedName name="COMITE_DEPARTAMENTAL_DE_CAFETEROS_DE_RISARALDA">'NEW DATA'!$T$1:$T$9</definedName>
    <definedName name="INSPECCION_CAFETERA_DE_CARTAGENA">'NEW DATA'!$Y$1:$Y$5</definedName>
    <definedName name="NIVEL3">'NEW DATA'!$F$1:$F$237</definedName>
    <definedName name="OFICINAS_COORDINADORAS_Y_OTROS_TERRITORIOS">'NEW DATA'!$AB$1:$AB$6</definedName>
    <definedName name="EMP">DATA!$I$2:$I$4</definedName>
    <definedName name="COMITE_DEPARTAMENTAL_DE_CAFETEROS_DE_ANTIOQUIA">'NEW DATA'!$I$1:$I$19</definedName>
    <definedName name="IIIE">DATA!$O$8:$O$10</definedName>
    <definedName name="ADM">DATA!$D$2:$D$14</definedName>
    <definedName name="Personal">#REF!</definedName>
    <definedName name="COMITE_DEPARTAMENTAL_DE_CAFETEROS_DE_NARIÑO">'NEW DATA'!$Q$1:$Q$9</definedName>
    <definedName name="Depen">COMISIONES!$J$9</definedName>
    <definedName name="III">DATA!$M$8:$M$10</definedName>
    <definedName name="PRY">DATA!$D$46</definedName>
    <definedName name="INSPECCION_CAFETERA_DE_BUENAVENTURA">'NEW DATA'!$X$1:$X$4</definedName>
    <definedName name="IIE">DATA!$O$5:$O$7</definedName>
    <definedName name="COMITE_DEPARTAMENTAL_DE_CAFETEROS_DE_CALDAS">'NEW DATA'!$K$1:$K$13</definedName>
    <definedName name="CARG">'NEW DATA'!$A$2:$A$275</definedName>
    <definedName name="USD">DATA!$O$1:$O$11</definedName>
    <definedName name="II">DATA!$M$5:$M$7</definedName>
    <definedName name="TotalG">#REF!</definedName>
    <definedName name="COOR">DATA!$D$47:$D$49</definedName>
    <definedName name="COMITE_DEPARTAMENTAL_DE_CAFETEROS_DE_CUNDINAMARCA">'NEW DATA'!$N$1:$N$8</definedName>
    <definedName name="I">DATA!$M$2:$M$4</definedName>
    <definedName name="TEC">DATA!$D$43:$D$45</definedName>
    <definedName name="TERRITORIOS_CAFETEROS_DE_LA_ORINOQUIA_Y_LA_AMAZONIA">'NEW DATA'!$AB$1:$AB$6</definedName>
    <definedName name="CENIC">DATA!$D$99:$D$132</definedName>
    <definedName name="PROCESO">DATA!$A$2:$A$12</definedName>
    <definedName name="NIVEL4">'NEW DATA'!$E$1:$E$237</definedName>
    <definedName name="INSP">DATA!$D$133:$D$135</definedName>
    <definedName name="COMITE_DEPARTAMENTAL_DE_CAFETEROS_DE_TOLIMA">'NEW DATA'!$V$1:$V$12</definedName>
    <definedName name="COMITE_DEPARTAMENTAL_DE_CAFETEROS_DE_HUILA">'NEW DATA'!$O$1:$O$11</definedName>
    <definedName name="INSPECCION_CAFETERA_DE_SANTA_MARTA">'NEW DATA'!$Z$1:$Z$4</definedName>
    <definedName hidden="1" localSheetId="3" name="_xlnm._FilterDatabase">'NEW DATA'!$A$1:$AC$1</definedName>
    <definedName hidden="1" localSheetId="4" name="_xlnm._FilterDatabase">'FAMILIA DE CARGOS'!$A$2:$B$55</definedName>
    <definedName hidden="1" localSheetId="5" name="_xlnm._FilterDatabase">DATA!$A$1:$P$135</definedName>
  </definedNames>
  <calcPr/>
  <extLst>
    <ext uri="GoogleSheetsCustomDataVersion2">
      <go:sheetsCustomData xmlns:go="http://customooxmlschemas.google.com/" r:id="rId10" roundtripDataChecksum="ggMFZbslTjmGV1J7RFxade/FlrFaSX78bXyFKT16U+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0">
      <text>
        <t xml:space="preserve">======
ID#AAABzOd_iZA
Sandra Mendoza    (2026-01-30 19:30:44)
Todas las ciudades CAPITALES de departamento.</t>
      </text>
    </comment>
    <comment authorId="0" ref="AH10">
      <text>
        <t xml:space="preserve">======
ID#AAABzOd_iZE
Sandra Mendoza    (2026-01-30 19:30:44)
Ciudades y municipios DEL DEPARTAMENTO SEDE DE TRABAJO</t>
      </text>
    </comment>
    <comment authorId="0" ref="AG10">
      <text>
        <t xml:space="preserve">======
ID#AAABzOd_iZI
Sandra Mendoza    (2026-01-30 19:30:44)
Las demás ciudades y municipios del país.</t>
      </text>
    </comment>
  </commentList>
  <extLst>
    <ext uri="GoogleSheetsCustomDataVersion2">
      <go:sheetsCustomData xmlns:go="http://customooxmlschemas.google.com/" r:id="rId1" roundtripDataSignature="AMtx7mjOEvu5nemVPt8xpx8VaaF3qsujyw=="/>
    </ext>
  </extLst>
</comments>
</file>

<file path=xl/sharedStrings.xml><?xml version="1.0" encoding="utf-8"?>
<sst xmlns="http://schemas.openxmlformats.org/spreadsheetml/2006/main" count="2653" uniqueCount="841">
  <si>
    <t>TIPO</t>
  </si>
  <si>
    <t>FEDERACIÓN NACIONAL DE CAFETEROS DE COLOMBIA</t>
  </si>
  <si>
    <t>CÓDIGO:</t>
  </si>
  <si>
    <t xml:space="preserve">FE-GH-F-0162 </t>
  </si>
  <si>
    <t>NACIONAL</t>
  </si>
  <si>
    <t>EXTERIOR EFECTIVO</t>
  </si>
  <si>
    <t>FECHA:</t>
  </si>
  <si>
    <t>MEMORANDO GAD06C02119  Dic 07 de 2006</t>
  </si>
  <si>
    <t>TARJETA PREPAGO</t>
  </si>
  <si>
    <t xml:space="preserve"> LEGALIZACION COMISIONES DE TRABAJO</t>
  </si>
  <si>
    <t>Versión 05</t>
  </si>
  <si>
    <t>VER INSTRUCTIVO</t>
  </si>
  <si>
    <t>TARJETA DE CRÉDITO</t>
  </si>
  <si>
    <t xml:space="preserve">                                                                                                                                                                                                          </t>
  </si>
  <si>
    <t>(AÑO-MES-DIA)</t>
  </si>
  <si>
    <t>DIVISION DE PERSONAL:</t>
  </si>
  <si>
    <t>COMITE_DEPARTAMENTAL_DE_CAFETEROS_DE_TOLIMA</t>
  </si>
  <si>
    <t>FECHA LEGALIZACION</t>
  </si>
  <si>
    <t>Resolución No. 003 de 2012</t>
  </si>
  <si>
    <t>PROCESO:</t>
  </si>
  <si>
    <t>COORDINACION CONTABLE</t>
  </si>
  <si>
    <t>ELABORADO POR</t>
  </si>
  <si>
    <t>ALEJANDRA 
GONZALEZ</t>
  </si>
  <si>
    <t>GRUPO DE PERSONAL</t>
  </si>
  <si>
    <t>A</t>
  </si>
  <si>
    <t>B</t>
  </si>
  <si>
    <t>C</t>
  </si>
  <si>
    <t>DATOS  TRABAJADOR</t>
  </si>
  <si>
    <t>Estratégico</t>
  </si>
  <si>
    <t>Táctico</t>
  </si>
  <si>
    <t>NOMBRES Y APELLIDOS</t>
  </si>
  <si>
    <t>CÉDULA</t>
  </si>
  <si>
    <t>CARGO</t>
  </si>
  <si>
    <t xml:space="preserve">GRUPO </t>
  </si>
  <si>
    <t>Operativo</t>
  </si>
  <si>
    <t>MAYRA ALEJANDRA GONZALEZ APONTE</t>
  </si>
  <si>
    <t>ANALISTA</t>
  </si>
  <si>
    <t>DATOS COMISIÓN</t>
  </si>
  <si>
    <r>
      <rPr>
        <rFont val="Tahoma"/>
        <b/>
        <color rgb="FFFFFFFF"/>
        <sz val="8.0"/>
      </rPr>
      <t xml:space="preserve">MES EN QUE </t>
    </r>
    <r>
      <rPr>
        <rFont val="Tahoma"/>
        <b/>
        <color rgb="FFFFFFFF"/>
        <sz val="9.0"/>
        <u/>
      </rPr>
      <t>INICIA</t>
    </r>
    <r>
      <rPr>
        <rFont val="Tahoma"/>
        <b/>
        <color rgb="FFFFFFFF"/>
        <sz val="8.0"/>
      </rPr>
      <t xml:space="preserve"> LA COMISIÓN</t>
    </r>
  </si>
  <si>
    <t>MOTIVO DE LA COMISIÓN</t>
  </si>
  <si>
    <t>INDIQUE LA EMPRESA PARA LA CUAL SE REALIZÓ ESTA COMISIÓN</t>
  </si>
  <si>
    <t>MARZO</t>
  </si>
  <si>
    <t>TOMA DE INVENTARIO FISICO EN EL COMITÉ MUNICIPAL DE ROVIRA</t>
  </si>
  <si>
    <t>FEDERACIÓN DE CAFETEROS</t>
  </si>
  <si>
    <t>DATOS ANTICIPOS</t>
  </si>
  <si>
    <t>9.1</t>
  </si>
  <si>
    <t>9.2</t>
  </si>
  <si>
    <t>9.3</t>
  </si>
  <si>
    <t xml:space="preserve">  FECHA</t>
  </si>
  <si>
    <t xml:space="preserve"> N° DOCUMENTO DE PAGO</t>
  </si>
  <si>
    <t>TASA DE CAMBIO</t>
  </si>
  <si>
    <t>VALORES</t>
  </si>
  <si>
    <t>VALOR</t>
  </si>
  <si>
    <t>Año</t>
  </si>
  <si>
    <t>Mes</t>
  </si>
  <si>
    <t>Día</t>
  </si>
  <si>
    <t>USD</t>
  </si>
  <si>
    <t>COP</t>
  </si>
  <si>
    <t>DEVOLUCIONES A TESORERIA USD- PESOS</t>
  </si>
  <si>
    <t>TOTAL ANTICIPOS</t>
  </si>
  <si>
    <t>VALORES A LEGALIZAR</t>
  </si>
  <si>
    <r>
      <rPr>
        <rFont val="Tahoma"/>
        <color rgb="FFFFFFFF"/>
        <sz val="7.0"/>
      </rPr>
      <t xml:space="preserve">TRABAJADOR    PAGO   HOTEL  </t>
    </r>
    <r>
      <rPr>
        <rFont val="Tahoma"/>
        <color rgb="FFFFFFFF"/>
        <sz val="10.0"/>
      </rPr>
      <t>?</t>
    </r>
  </si>
  <si>
    <t>14.1</t>
  </si>
  <si>
    <t>14.2</t>
  </si>
  <si>
    <t>LUGARES VISITADOS</t>
  </si>
  <si>
    <t>FECHAS</t>
  </si>
  <si>
    <t>%</t>
  </si>
  <si>
    <t>ALOJAMIENTO</t>
  </si>
  <si>
    <t>GASTO DE VIAJE</t>
  </si>
  <si>
    <t>TRANSPORTE</t>
  </si>
  <si>
    <t>TOTALES</t>
  </si>
  <si>
    <t>Del</t>
  </si>
  <si>
    <t>Al</t>
  </si>
  <si>
    <t xml:space="preserve">No.  Dias </t>
  </si>
  <si>
    <t>Aereo</t>
  </si>
  <si>
    <t>Kilometraje</t>
  </si>
  <si>
    <t>Otros</t>
  </si>
  <si>
    <t>TIPO VEHICULO</t>
  </si>
  <si>
    <r>
      <rPr>
        <rFont val="Tahoma"/>
        <b/>
        <color rgb="FFFFFFFF"/>
        <sz val="8.0"/>
      </rPr>
      <t xml:space="preserve">Valor del </t>
    </r>
    <r>
      <rPr>
        <rFont val="Tahoma"/>
        <b val="0"/>
        <color rgb="FFFFFFFF"/>
        <sz val="8.0"/>
      </rPr>
      <t>Km</t>
    </r>
  </si>
  <si>
    <t>No del Km</t>
  </si>
  <si>
    <t>Total</t>
  </si>
  <si>
    <t>OTROS VALORES</t>
  </si>
  <si>
    <t>IBAG-ROVIR-IBAG</t>
  </si>
  <si>
    <t>CARRO</t>
  </si>
  <si>
    <t>T O T A L E S</t>
  </si>
  <si>
    <t>TOTAL SIN FACTURAS</t>
  </si>
  <si>
    <t>FACTURAS</t>
  </si>
  <si>
    <t xml:space="preserve"> 14  - FACTURAS REGISTRADAS</t>
  </si>
  <si>
    <t>OBSERVACIONES</t>
  </si>
  <si>
    <t>SALDO A FAVOR DE</t>
  </si>
  <si>
    <t>VALOR DEL SALDO</t>
  </si>
  <si>
    <t>FEDERACION</t>
  </si>
  <si>
    <t>TRABAJADOR</t>
  </si>
  <si>
    <r>
      <rPr>
        <rFont val="Tahoma"/>
        <b/>
        <color theme="1"/>
        <sz val="9.0"/>
      </rPr>
      <t>Nota 1</t>
    </r>
    <r>
      <rPr>
        <rFont val="Tahoma"/>
        <b val="0"/>
        <color theme="1"/>
        <sz val="9.0"/>
      </rPr>
      <t>:  Autorizo expresamente a la Federación Nacional de Cafeteros de Colombia  para descontar del  valor de mis salarios, prestaciones y/o indemnizaciones, la suma que figura a favor de la Empresa, según el presente formato.</t>
    </r>
  </si>
  <si>
    <r>
      <rPr>
        <rFont val="Tahoma"/>
        <b/>
        <color theme="1"/>
        <sz val="9.0"/>
      </rPr>
      <t>Nota 2</t>
    </r>
    <r>
      <rPr>
        <rFont val="Tahoma"/>
        <b val="0"/>
        <color theme="1"/>
        <sz val="9.0"/>
      </rPr>
      <t xml:space="preserve">: Reconozco y acepto que los dineros recibidos no son constitutivos de salario. </t>
    </r>
  </si>
  <si>
    <r>
      <rPr>
        <rFont val="Tahoma"/>
        <b/>
        <color theme="1"/>
        <sz val="9.0"/>
      </rPr>
      <t>Nota 3</t>
    </r>
    <r>
      <rPr>
        <rFont val="Tahoma"/>
        <b val="0"/>
        <color theme="1"/>
        <sz val="9.0"/>
      </rPr>
      <t>: Tanto el trabajador garantizan con sus firmas la veracidad y la exactitud de los datos y sumas que se legalizan.</t>
    </r>
  </si>
  <si>
    <t>Firma del Trabajador</t>
  </si>
  <si>
    <t>Vo Bo. Jefe Inmediato</t>
  </si>
  <si>
    <t>NOMBRE:</t>
  </si>
  <si>
    <t>C:C   No.</t>
  </si>
  <si>
    <t>1,110,462,834</t>
  </si>
  <si>
    <t>C.C No.</t>
  </si>
  <si>
    <t>INSTRUCTIVO LEGALIZACION COMISIONES NACIONALES</t>
  </si>
  <si>
    <t>DILIGENCIAR UNICAMENTE LAS CASILLAS SOMBREADAS DEL FORMATO</t>
  </si>
  <si>
    <t>SELECCIONE LA EMPRESA POR LA CUAL VA A REALIZAR LA LEGALIZACIÓN</t>
  </si>
  <si>
    <t>SELECCIONE EL TIPO DE LEGALIZACION: NACIONAL, EXTERIOR, TARJETA PREPAGO, TARJETA AMEX</t>
  </si>
  <si>
    <t>VOLVER AL FORMATO</t>
  </si>
  <si>
    <t>DATOS DEL TRABAJADOR</t>
  </si>
  <si>
    <t>NOMBRES Y APELLIDOS DEL TRABAJADOR</t>
  </si>
  <si>
    <t xml:space="preserve">CÉDULA DE IDENTIFICACION DEL TRABAJADOR </t>
  </si>
  <si>
    <t>CARGO QUE DESEMPEÑA ACTUALMENTE EL TRABAJADOR</t>
  </si>
  <si>
    <t>AUTOMATICO --&gt; GRUPO AL QUE PERTENECE EL TRABAJADOR</t>
  </si>
  <si>
    <t>DATOS DE LA COMISION</t>
  </si>
  <si>
    <t>MES EN QUE SE INICIO EL VIAJE</t>
  </si>
  <si>
    <t>ENUNCIE CUAL FUE EL OBJETO O MOTIVO DE LA COMISION</t>
  </si>
  <si>
    <t>INDIQUE PARA QUE EMPRESA ES LA ACTIVIDAD QUE ORIGINA LA COMISIÓN</t>
  </si>
  <si>
    <t>DATOS DEL ANTICIPO</t>
  </si>
  <si>
    <t>FECHA EN QUE SE GENERA EL ANTICIPO EN SISTEMA</t>
  </si>
  <si>
    <t>NÚMERO DEL DOCUMENTO CON EL CUAL SE PAGA EL ANTICIPO</t>
  </si>
  <si>
    <t>TASA DE CAMBIO CON LA QUE SE PAGA EL ANTICIPO</t>
  </si>
  <si>
    <t>VALOR EN DOLARES UDS - CON EL QUE SE PAGA EL ANTICIPO</t>
  </si>
  <si>
    <t>AUTOMATICO --&gt; CONVERSION A PESOS DEL ANTICIPO ENTREGADO</t>
  </si>
  <si>
    <t>VALOR DEL ANTICIPO OTORGADO AL TRABAJADOR  USD/COP</t>
  </si>
  <si>
    <t>VALOR DE LA TARIFA DIARIA ESTABLECIDA CORRESPONDIENTE A LA CLASIFICACION DE CARGOS Y AL DESTINO VISITADO NACIONAL O EXTERIOR</t>
  </si>
  <si>
    <t>CIUDAD O MUNICIPIO VISITADO DURANTE LA COMISION</t>
  </si>
  <si>
    <t xml:space="preserve">INDIQUE LOS DÍAS DE INICIO Y FIN DE LA COMISION. </t>
  </si>
  <si>
    <t>*</t>
  </si>
  <si>
    <t>MARQUE "NO" SI EL TRABAJADOR  NO TUVO QUE CANCELAR EL ALOJAMIENTO, EN ESTE CASO SE RECONOCE EL 50% DE LA TARIFA POR LOS DIAS DE COMISIÓN, SI EL TRABAJADOR CANCELÓ DIRECTAMENTE EL HOTEL MARQUE "SI" O DEJE EN BLANCO (INDISPENSABLE ANEXAR LA FACTURA CANCELADA)</t>
  </si>
  <si>
    <t>AUTOMATICO --&gt; VR. RECONOCIMIENTO GASTOS ALOJAMIENTO</t>
  </si>
  <si>
    <t>AUTOMATICO --&gt; VR. RECONOCIMIENTO GASTOS DE VIAJE</t>
  </si>
  <si>
    <r>
      <rPr>
        <rFont val="Tahoma"/>
        <b/>
        <color theme="1"/>
        <sz val="11.0"/>
      </rPr>
      <t xml:space="preserve">NOTA: </t>
    </r>
    <r>
      <rPr>
        <rFont val="Tahoma"/>
        <b val="0"/>
        <color theme="1"/>
        <sz val="11.0"/>
      </rPr>
      <t>SI LA DURACION DE LA COMISIÓN ES DE UN (1) DÍA, SE RECONOCE EL 50% DE LA TARIFA</t>
    </r>
  </si>
  <si>
    <r>
      <rPr>
        <rFont val="Tahoma"/>
        <color theme="1"/>
        <sz val="11.0"/>
      </rPr>
      <t xml:space="preserve">VALORES </t>
    </r>
    <r>
      <rPr>
        <rFont val="Tahoma"/>
        <b/>
        <color theme="1"/>
        <sz val="11.0"/>
      </rPr>
      <t>ADICIONALES</t>
    </r>
    <r>
      <rPr>
        <rFont val="Tahoma"/>
        <color theme="1"/>
        <sz val="11.0"/>
      </rPr>
      <t xml:space="preserve"> CANCELADOS POR: </t>
    </r>
  </si>
  <si>
    <t xml:space="preserve">TRANSPORTE AEREO --&gt; TIQUETES ADICIONALES COMPRADOS POR EL TRABAJADOR (INDISPENSABLE PRESENTAR SOPORTES) </t>
  </si>
  <si>
    <r>
      <rPr>
        <rFont val="Tahoma"/>
        <b/>
        <color theme="1"/>
        <sz val="9.0"/>
      </rPr>
      <t>KILOMETRAJE</t>
    </r>
    <r>
      <rPr>
        <rFont val="Tahoma"/>
        <b val="0"/>
        <color theme="1"/>
        <sz val="9.0"/>
      </rPr>
      <t xml:space="preserve"> --&gt; NUMERO DE KILOMETROS RECORRIDOS x TARIFA ESTABLECIDA PARA EL MES DE LA COMISION</t>
    </r>
  </si>
  <si>
    <t xml:space="preserve">OTROS --&gt; GASTOS, CAUSADOS CON MOTIVO DE LA COMISIÓN, Y CANCELADOS POR EL TRABAJADOR (INDISPENSABLE  SOPORTES) </t>
  </si>
  <si>
    <r>
      <rPr>
        <rFont val="Tahoma"/>
        <b/>
        <color rgb="FFFF0000"/>
        <sz val="11.0"/>
      </rPr>
      <t>REGISTRO AUTOMATICO</t>
    </r>
    <r>
      <rPr>
        <rFont val="Tahoma"/>
        <b val="0"/>
        <color rgb="FFFF0000"/>
        <sz val="11.0"/>
      </rPr>
      <t xml:space="preserve"> --&gt; CASILLA 14 MENOS EL TOTAL DE LAS FACTURAS ANEXAS. </t>
    </r>
  </si>
  <si>
    <r>
      <rPr>
        <rFont val="Tahoma"/>
        <b/>
        <color theme="1"/>
        <sz val="11.0"/>
      </rPr>
      <t xml:space="preserve">NOTA:  </t>
    </r>
    <r>
      <rPr>
        <rFont val="Tahoma"/>
        <b val="0"/>
        <color theme="1"/>
        <sz val="11.0"/>
      </rPr>
      <t>NO SON VALIDAS PARA LA DEDUCCION LA FACTURAS DE TRANSPORTE, ROPA U OTROS OBJETOS SIN RELACION DE CAUSALIDAD CON LA COMISION</t>
    </r>
  </si>
  <si>
    <t>LAS FACTURAS QUE SE ANEXEN DEBER RELACIONARCE EN EL FORMATO DE GASTOS POR COMISIÓN.  PARA VER EL FORMATO DE CLICK EN LA CASILLA DE "FACTURAS"</t>
  </si>
  <si>
    <t>REGISTRO AUTOMATICO --&gt; INDICA SI EL SALDO ES A FAVOR DEL TRABAJADOR O DE LA EMPRESA</t>
  </si>
  <si>
    <r>
      <rPr>
        <rFont val="Tahoma"/>
        <b/>
        <color rgb="FFFF0000"/>
        <sz val="11.0"/>
      </rPr>
      <t>REGISTRO AUTOMATICO</t>
    </r>
    <r>
      <rPr>
        <rFont val="Tahoma"/>
        <b val="0"/>
        <color rgb="FFFF0000"/>
        <sz val="11.0"/>
      </rPr>
      <t xml:space="preserve"> --&gt; INDICA EL VALOR DEL SALDO RESULTANTE</t>
    </r>
  </si>
  <si>
    <t>LOGOFNC</t>
  </si>
  <si>
    <t>ALMACENES GENERALES DE DEPÓSITO DE CAFÉ S.A - ALMACAFÉ</t>
  </si>
  <si>
    <t>LOGOALMACAFE</t>
  </si>
  <si>
    <t>REGRESAR AL FORMATO DE LEGALIZACION</t>
  </si>
  <si>
    <t>FEDERACION NACIONAL DE CAFETEROS DE COLOMBIA</t>
  </si>
  <si>
    <t>NIT 860.007.538-2</t>
  </si>
  <si>
    <t>RELACION DE GASTOS POR COMISIONES DE TRABAJO PARA EFECTOS TRIBUTARIOS SOPORTADOS CON FACTURA O DOCUMENTOS EQUIVALENTES</t>
  </si>
  <si>
    <t xml:space="preserve">FECHA: </t>
  </si>
  <si>
    <t xml:space="preserve">CÉDULA:         </t>
  </si>
  <si>
    <t xml:space="preserve">   </t>
  </si>
  <si>
    <t>1. ALOJAMIENTO Y MANUTENCIÓN</t>
  </si>
  <si>
    <t>ALOJAMIENTO - RESTAURANTES -  LLAMADAS TELEFÓNICAS - PROPINAS - LAVANDERÍA - ATENCIONES ESPECIALES</t>
  </si>
  <si>
    <t>ENTIDAD</t>
  </si>
  <si>
    <t>NIT</t>
  </si>
  <si>
    <t>VR. EN MONEDA EXTRANJERA</t>
  </si>
  <si>
    <t>VR. EN PESOS</t>
  </si>
  <si>
    <t>VALOR PAGADO</t>
  </si>
  <si>
    <t>TOTAL GASTOS ALOJAMIENTO Y MANUTENCION</t>
  </si>
  <si>
    <t>2. TRANSPORTE Y OTROS</t>
  </si>
  <si>
    <t xml:space="preserve">TRANSPORTE TERRESTRE -  CAMBIO TIQUETE - TASA AEROPORTUARIA </t>
  </si>
  <si>
    <t>NOMBRE DEL BENEFICIARIO</t>
  </si>
  <si>
    <t>NIT / C.C.</t>
  </si>
  <si>
    <t>TOTAL GASTOS TRANSPORTE Y OTROS</t>
  </si>
  <si>
    <t>TOTAL GASTOS CON FACTURA</t>
  </si>
  <si>
    <t xml:space="preserve">Firma del Trabajador </t>
  </si>
  <si>
    <t xml:space="preserve">Nombres y Apellidos:  </t>
  </si>
  <si>
    <t xml:space="preserve">Cédula Trabajador: </t>
  </si>
  <si>
    <r>
      <rPr>
        <rFont val="Tahoma"/>
        <b/>
        <color theme="1"/>
        <sz val="9.0"/>
      </rPr>
      <t>Nota:</t>
    </r>
    <r>
      <rPr>
        <rFont val="Tahoma"/>
        <b val="0"/>
        <color theme="1"/>
        <sz val="9.0"/>
      </rPr>
      <t xml:space="preserve"> Esta relación debe estar soportada con sus respectivas facturas y/o documentos equivalentes y deben cumplir con las normas tributarias establecidas para el ello  en el artículo 617 del Estatuto Tributario.</t>
    </r>
  </si>
  <si>
    <t>ACPLAN</t>
  </si>
  <si>
    <t>Grupo</t>
  </si>
  <si>
    <t>ROM1</t>
  </si>
  <si>
    <t>ROM2</t>
  </si>
  <si>
    <t>Nombre Nivel 4</t>
  </si>
  <si>
    <t>Nombre Nivel 3</t>
  </si>
  <si>
    <t>BUENCAFE_LIOFILIZADO_DE_COLOMBIA</t>
  </si>
  <si>
    <t>CENTRO_NACIONAL_DE_INVESTIGACIONES_DE_CAFE_CENICAFE</t>
  </si>
  <si>
    <t>COMITE_DEPARTAMENTAL_DE_CAFETEROS_DE_ANTIOQUIA</t>
  </si>
  <si>
    <t>COMITE_DEPARTAMENTAL_DE_CAFETEROS_DE_BOYACA</t>
  </si>
  <si>
    <t>COMITE_DEPARTAMENTAL_DE_CAFETEROS_DE_CALDAS</t>
  </si>
  <si>
    <t>COMITE_DEPARTAMENTAL_DE_CAFETEROS_DE_CAUCA</t>
  </si>
  <si>
    <t>COMITE_DEPARTAMENTAL_DE_CAFETEROS_DE_CESAR_Y_GUAJIRA</t>
  </si>
  <si>
    <t>COMITE_DEPARTAMENTAL_DE_CAFETEROS_DE_CUNDINAMARCA</t>
  </si>
  <si>
    <t>COMITE_DEPARTAMENTAL_DE_CAFETEROS_DE_HUILA</t>
  </si>
  <si>
    <t>COMITE_DEPARTAMENTAL_DE_CAFETEROS_DE_MAGDALENA</t>
  </si>
  <si>
    <t>COMITE_DEPARTAMENTAL_DE_CAFETEROS_DE_NARIÑO</t>
  </si>
  <si>
    <t>COMITE_DEPARTAMENTAL_DE_CAFETEROS_DE_NORTE_DE_SANTANDER</t>
  </si>
  <si>
    <t>COMITE_DEPARTAMENTAL_DE_CAFETEROS_DE_QUINDIO</t>
  </si>
  <si>
    <t>COMITE_DEPARTAMENTAL_DE_CAFETEROS_DE_RISARALDA</t>
  </si>
  <si>
    <t>COMITE_DEPARTAMENTAL_DE_CAFETEROS_DE_SANTANDER</t>
  </si>
  <si>
    <t>COMITE_DEPARTAMENTAL_DE_CAFETEROS_DE_VALLE</t>
  </si>
  <si>
    <t>INSPECCION_CAFETERA_DE_BUENAVENTURA</t>
  </si>
  <si>
    <t>INSPECCION_CAFETERA_DE_CARTAGENA</t>
  </si>
  <si>
    <t>INSPECCION_CAFETERA_DE_SANTA_MARTA</t>
  </si>
  <si>
    <t>SEDE_BOGOTA</t>
  </si>
  <si>
    <t>TERRITORIOS_CAFETEROS_DE_LA_ORINOQUIA_Y_LA_AMAZONIA</t>
  </si>
  <si>
    <t>Nombre_Nivel_3</t>
  </si>
  <si>
    <t>ABOGADO JUNIOR</t>
  </si>
  <si>
    <t>II Táctico</t>
  </si>
  <si>
    <t>II</t>
  </si>
  <si>
    <t>IIE</t>
  </si>
  <si>
    <t>COORDINACION FINANCIERA</t>
  </si>
  <si>
    <t>BUENCAFE LIOFILIZADO DE COLOMBIA</t>
  </si>
  <si>
    <t>COORDINACION COMPRAS</t>
  </si>
  <si>
    <t>COORDINACION  COOPERATIVAS</t>
  </si>
  <si>
    <t>COORDINACION EXTENSION</t>
  </si>
  <si>
    <t>COORDINACION COMERCIAL</t>
  </si>
  <si>
    <t>COORDINACION BIENES Y SERVICIOS</t>
  </si>
  <si>
    <t>COORDINACION ADMINISTRATIVA</t>
  </si>
  <si>
    <t>COORDINACION DESARROLLO SOCIAL</t>
  </si>
  <si>
    <t>COORDINACION EXPORTACIONES</t>
  </si>
  <si>
    <t>PROYECTOS</t>
  </si>
  <si>
    <t>COORDINACION SECCIONAL CAQUETA</t>
  </si>
  <si>
    <t>ABOGADO SENIOR</t>
  </si>
  <si>
    <t>DIRECCION ADMINISTRATIVA</t>
  </si>
  <si>
    <t>COORDINACION SECCIONAL</t>
  </si>
  <si>
    <t>COORDINACION REPESOS</t>
  </si>
  <si>
    <t>GERENCIA GENERAL / GERENCIA GENERAL</t>
  </si>
  <si>
    <t>COORDINACION SECCIONAL CASANARE</t>
  </si>
  <si>
    <t>ABOGADO SENIOR I</t>
  </si>
  <si>
    <t>DIRECCION CADENA DE SUMINISTROS</t>
  </si>
  <si>
    <t>COORDINACION GESTION HUMANA</t>
  </si>
  <si>
    <t>COORDINACION COMPRAS Y CONTRATACION</t>
  </si>
  <si>
    <t>DIRECCION ADMINISTRATIVA Y FINANCIERA</t>
  </si>
  <si>
    <t>DIRECCION INSPECCION CAFETERA</t>
  </si>
  <si>
    <t>GERENCIA GENERAL / SECRETARIA GENERAL</t>
  </si>
  <si>
    <t>COORDINACION SECCIONAL META</t>
  </si>
  <si>
    <t>ABOGADO SENIOR II</t>
  </si>
  <si>
    <t>DIRECCION CALIDAD</t>
  </si>
  <si>
    <t>COORDINACION GESTION PROYECTOS</t>
  </si>
  <si>
    <t>COORDINACION COMUNICACIONES</t>
  </si>
  <si>
    <t>DIRECCION EJECUTIVA</t>
  </si>
  <si>
    <t>GERENCIA GENERAL / ASESORIA ESTRATEGIA E INNOVACION</t>
  </si>
  <si>
    <t>DIRECCIÓN TERRS.CAFETS.ORINOQUIA/AMAZONIA</t>
  </si>
  <si>
    <t>ADMINISTRADOR GRANJA</t>
  </si>
  <si>
    <t>III Operativo</t>
  </si>
  <si>
    <t>III</t>
  </si>
  <si>
    <t>IIIE</t>
  </si>
  <si>
    <t>DIRECCION COMERCIAL</t>
  </si>
  <si>
    <t>COORDINACION MANTENIMIENTO</t>
  </si>
  <si>
    <t>COORDINACION FORTALECIMIENTO GREMIAL</t>
  </si>
  <si>
    <t>GERENCIA GENERAL / DIRECCION INVESTIGACIONES ECONOMICAS</t>
  </si>
  <si>
    <t>DIRECCION DESARROLLO</t>
  </si>
  <si>
    <t>COORDINACION TECNOLOGIA DE INFORMACION Y COMUNICACIONES</t>
  </si>
  <si>
    <t>COORDINACION DOCUMENTACION</t>
  </si>
  <si>
    <t>GERENCIA GENERAL / DIRECCION ASUNTOS GREMIALES</t>
  </si>
  <si>
    <t>ANALISTA ADMINISTRATIVO Y FINANCIERO</t>
  </si>
  <si>
    <t>DIRECCION GENERAL</t>
  </si>
  <si>
    <t>COORDINACION JURIDICA</t>
  </si>
  <si>
    <t>GERENCIA TECNICA / GERENCIA TECNICA</t>
  </si>
  <si>
    <t>ANALISTA APROVISIONAMIENTO</t>
  </si>
  <si>
    <t>DIRECCION INGENIERIA</t>
  </si>
  <si>
    <t>DIRECCION DE INVESTIGACION</t>
  </si>
  <si>
    <t>GERENCIA GENERAL / DIRECCION DESARROLLO SOCIAL</t>
  </si>
  <si>
    <t>ANALISTA BIENES Y SERVICIOS</t>
  </si>
  <si>
    <t>DIRECCION PROCESO</t>
  </si>
  <si>
    <t>DISCIPLINA AGROCLIMATOLOGIA</t>
  </si>
  <si>
    <t>GERENCIA COMERCIAL / GERENCIA COMERCIAL</t>
  </si>
  <si>
    <t>ANALISTA CALIDAD</t>
  </si>
  <si>
    <t>CENTRO NACIONAL DE INVESTIGACIONES DE CAFE - CENICAFE</t>
  </si>
  <si>
    <t>DISCIPLINA BIOMETRIA</t>
  </si>
  <si>
    <t>GERENCIA COMERCIAL / DIRECCION TRANSFORMACION AGREGACION VALOR</t>
  </si>
  <si>
    <t>ANALISTA CALIDAD II</t>
  </si>
  <si>
    <t>DISCIPLINA CALIDAD</t>
  </si>
  <si>
    <t>GERENCIA COMERCIAL / COORDINACION PLANEACION COMERCIAL</t>
  </si>
  <si>
    <t>ANALISTA CEDI</t>
  </si>
  <si>
    <t>DISCIPLINA DIVULGACION Y TRANSFERENCIA</t>
  </si>
  <si>
    <t>GERENCIA OPERACIONES / DIRECCION ALIANZAS Y PROYECTOS</t>
  </si>
  <si>
    <t>ANALISTA COMERCIAL</t>
  </si>
  <si>
    <t>DISCIPLINA ECONOMIA</t>
  </si>
  <si>
    <t>COORDINACION RELACIONES PUBLICAS</t>
  </si>
  <si>
    <t>GERENCIA COMERCIAL / DIRECCION COMPRAS CAFE Y RELACIONES COMERCIALES</t>
  </si>
  <si>
    <t>ANALISTA COMERCIAL CAFE VERDE</t>
  </si>
  <si>
    <t>DISCIPLINA ENTOMOLOGIA</t>
  </si>
  <si>
    <t>GERENCIA OPERACIONES / DIRECCION LOGISTICA</t>
  </si>
  <si>
    <t>ANALISTA COMERCIAL CAFES ESPECIALES</t>
  </si>
  <si>
    <t>DISCIPLINA ESTACION EXPERIMENTAL EL LIBANO</t>
  </si>
  <si>
    <t>GERENCIA COMERCIAL / DIRECCION VENTAS CAFE Y RELACIONES COMERCIALES</t>
  </si>
  <si>
    <t>ANALISTA COMERCIO SOSTENIBLE</t>
  </si>
  <si>
    <t>DISCIPLINA ESTACION EXPERIMENTAL EL ROSARIO</t>
  </si>
  <si>
    <t>GERENCIA OPERACIONES / DIRECCION DRLLO. COOPERATIVO Y ASOCIATIVO</t>
  </si>
  <si>
    <t>ANALISTA COMPRAS</t>
  </si>
  <si>
    <t>DISCIPLINA ESTACION EXPERIMENTAL EL TAMBO</t>
  </si>
  <si>
    <t>GERENCIA GENERAL / DIRECCION MERCADEO Y RELACIONES PUBLICAS</t>
  </si>
  <si>
    <t>ANALISTA COMUNICACION</t>
  </si>
  <si>
    <t>DISCIPLINA ESTACION EXPERIMENTAL FLORIDA</t>
  </si>
  <si>
    <t>GERENCIA GENERAL / DIRECCION JURIDICA</t>
  </si>
  <si>
    <t>ANALISTA CONTABLE</t>
  </si>
  <si>
    <t>DISCIPLINA ESTACION EXPERIMENTAL LA CATALINA</t>
  </si>
  <si>
    <t>GERENCIA GENERAL / AUDITORIA INTERNA</t>
  </si>
  <si>
    <t>ANALISTA COOPERATIVAS</t>
  </si>
  <si>
    <t>DISCIPLINA ESTACION EXPERIMENTAL NARANJAL</t>
  </si>
  <si>
    <t>GERENCIA OPERACIONES / DIRECCION RIESGO CORPORATIVO</t>
  </si>
  <si>
    <t>ANALISTA CUENTA AHORRO CAFETERA</t>
  </si>
  <si>
    <t>DISCIPLINA ESTACION EXPERIMENTAL PARAGUAICITO</t>
  </si>
  <si>
    <t>GERENCIA GENERAL / COORDINACION COMUNICACIONES</t>
  </si>
  <si>
    <t>ANALISTA DESARROLLO ORGANIZACIONAL</t>
  </si>
  <si>
    <t>DISCIPLINA ESTACION EXPERIMENTAL PUEBLO BELLO</t>
  </si>
  <si>
    <t>GERENCIA FINANCIERA Y RECURSOS ORG. / DIRECCION GESTION HUMANA</t>
  </si>
  <si>
    <t>ANALISTA DESARROLLO SOCIAL</t>
  </si>
  <si>
    <t>DISCIPLINA EXPERIMENTACION</t>
  </si>
  <si>
    <t>DIRECCION GESTION HUMANA</t>
  </si>
  <si>
    <t>ANALISTA DIVULGACION</t>
  </si>
  <si>
    <t>DISCIPLINA FISIOLOGIA VEGETAL</t>
  </si>
  <si>
    <t>GERENCIA FINANCIERA Y RECURSOS ORG. / DIRECCION DESARROLLO ORGANIZACIONAL</t>
  </si>
  <si>
    <t>ANALISTA EXPORTACIONES</t>
  </si>
  <si>
    <t>DISCIPLINA FITOPATOLOGIA</t>
  </si>
  <si>
    <t>GERENCIA OPERACIONES / DIRECCION TIC</t>
  </si>
  <si>
    <t>ANALISTA FINANCIERO</t>
  </si>
  <si>
    <t>DISCIPLINA FITOTECNIA</t>
  </si>
  <si>
    <t>GERENCIA FINANCIERA Y RECURSOS ORG. / COORDINACION BIENES Y SERVICIOS</t>
  </si>
  <si>
    <t>ANALISTA FORTALECIMIENTO GREMIAL</t>
  </si>
  <si>
    <t>DISCIPLINA MEJORAMIENTO GENETICO</t>
  </si>
  <si>
    <t>GERENCIA FINANCIERA Y RECURSOS ORG./ COORDINACION COMPRAS</t>
  </si>
  <si>
    <t>ANALISTA GESTION HUMANA</t>
  </si>
  <si>
    <t>DISCIPLINA POSCOSECHA</t>
  </si>
  <si>
    <t>GERENCIA OPERACIONES / DIRECCION OF. COORDINADORAS Y TERRITORIOS</t>
  </si>
  <si>
    <t>ANALISTA GESTION TRIBUTARIA</t>
  </si>
  <si>
    <t>DISCIPLINA SUELOS</t>
  </si>
  <si>
    <t>GERENCIA FINANCIERA Y RECURSOS ORG. / DIRECCION PLANEACION FINANCIERA Y PPTO</t>
  </si>
  <si>
    <t>ANALISTA INFORMACION</t>
  </si>
  <si>
    <t>GERENCIA FINANCIERA Y RECURSOS ORG. / DIRECCION CONTABLE</t>
  </si>
  <si>
    <t>ANALISTA INFORMACION CAFETERA</t>
  </si>
  <si>
    <t>GERENCIA FINANCIERA Y RECURSOS ORG. / COORDINACION TRIBUTARIA</t>
  </si>
  <si>
    <t>ANALISTA INVESTIGACIONES ECONOMICAS</t>
  </si>
  <si>
    <t>GERENCIA FINANCIERA Y RECURSOS ORG. / DIRECCION TESORERIA</t>
  </si>
  <si>
    <t>ANALISTA LOGISTICA</t>
  </si>
  <si>
    <t>GERENCIA FINANCIERA Y RECURSOS ORG. / DIRECCION RIESGO FINANCIERO</t>
  </si>
  <si>
    <t>ANALISTA MERCADEO</t>
  </si>
  <si>
    <t>GERENCIA GENERAL / DIRECCION GESTION AMBIENTAL</t>
  </si>
  <si>
    <t>ANALISTA METROLOGIA</t>
  </si>
  <si>
    <t>GERENCIA FINANCIERA Y RECURSOS ORG. / GERENCIA FINANCIERA Y RECURSOS ORG.</t>
  </si>
  <si>
    <t>ANALISTA PLANEACION COMERCIAL</t>
  </si>
  <si>
    <t>GERENCIA GENERAL / GERENCIA FINANCIERA Y RECURSOS ORG.</t>
  </si>
  <si>
    <t>ANALISTA PLANEACION FINANCIERA Y PRESUPU</t>
  </si>
  <si>
    <t>GERENCIA GENERAL / GERENCIA OPERACIONES</t>
  </si>
  <si>
    <t>ANALISTA PROPIEDAD INTELECTUAL</t>
  </si>
  <si>
    <t>DIRECCION RIESGO CORPORATIVO</t>
  </si>
  <si>
    <t>ANALISTA PROYECTOS</t>
  </si>
  <si>
    <t>COMITE DEPARTAMENTAL DE CAFETEROS DE ANTIOQUIA</t>
  </si>
  <si>
    <t>DIRECCION RIESGO FINANCIERO</t>
  </si>
  <si>
    <t>ANALISTA REPESOS</t>
  </si>
  <si>
    <t>DIRECCION TECNOLOGIA DE INFORMACION Y COMUNICACIONES</t>
  </si>
  <si>
    <t>ANALISTA RIESGO FINANCIERO</t>
  </si>
  <si>
    <t>GERENCIA ADMINISTRATIVA Y FINANCIERA</t>
  </si>
  <si>
    <t>ANALISTA RIESGO Y CUMPLIMIENTO</t>
  </si>
  <si>
    <t>GERENCIA COMERCIAL</t>
  </si>
  <si>
    <t>ANALISTA SICA</t>
  </si>
  <si>
    <t>GERENCIA FINANCIERA</t>
  </si>
  <si>
    <t>ANALISTA SISTEMA INFO GEOGRAFICA</t>
  </si>
  <si>
    <t>GERENCIA GENERAL</t>
  </si>
  <si>
    <t>ANALISTA SOPORTE FINANCIERO</t>
  </si>
  <si>
    <t>GERENCIA TECNICA</t>
  </si>
  <si>
    <t>ANALISTA TESORERIA</t>
  </si>
  <si>
    <t>ANALISTA TIC</t>
  </si>
  <si>
    <t>SECRETARIA GENERAL</t>
  </si>
  <si>
    <t>APRENDIZ</t>
  </si>
  <si>
    <t>NO APLICA - OTROS (ESTUDIANTES)</t>
  </si>
  <si>
    <t>ASESOR ALIANZAS INTERNACIONALES</t>
  </si>
  <si>
    <t>I Estratégico</t>
  </si>
  <si>
    <t>I</t>
  </si>
  <si>
    <t>IE</t>
  </si>
  <si>
    <t>ASESOR ALIANZAS PUBLICAS Y PRIVADAS</t>
  </si>
  <si>
    <t>ASESOR ESTRATEGIA E INNOVACION</t>
  </si>
  <si>
    <t>ASISTENTE ADMINISTRATIVO</t>
  </si>
  <si>
    <t>ASISTENTE GERENCIA</t>
  </si>
  <si>
    <t>ASISTENTE INVESTIGACION</t>
  </si>
  <si>
    <t>ASISTENTE TECNICO PROYECTO</t>
  </si>
  <si>
    <t>AUDITOR GENERAL</t>
  </si>
  <si>
    <t>AUDITOR JUNIOR</t>
  </si>
  <si>
    <t>COMITE DEPARTAMENTAL DE CAFETEROS DE BOYACA</t>
  </si>
  <si>
    <t>AUDITOR SENIOR</t>
  </si>
  <si>
    <t>AUXILIAR ADMINISTRATIVO</t>
  </si>
  <si>
    <t>AUXILIAR AGROCLIMATOLOGIA</t>
  </si>
  <si>
    <t>AUXILIAR ALMACEN PRODUCTO TERMINADO</t>
  </si>
  <si>
    <t>AUXILIAR ASEO Y CAFETERIA</t>
  </si>
  <si>
    <t>COMITE DEPARTAMENTAL DE CAFETEROS DE CALDAS</t>
  </si>
  <si>
    <t>AUXILIAR BIENES Y SERVICIOS</t>
  </si>
  <si>
    <t>AUXILIAR CONTABLE</t>
  </si>
  <si>
    <t>AUXILIAR DESARROLLO</t>
  </si>
  <si>
    <t>AUXILIAR DOCUMENTACION</t>
  </si>
  <si>
    <t>AUXILIAR EXPORTACIONES</t>
  </si>
  <si>
    <t>NO APLICA - OTRO</t>
  </si>
  <si>
    <t>AUXILIAR FINANCIERO</t>
  </si>
  <si>
    <t>AUXILIAR GESTION DOCUMENTAL</t>
  </si>
  <si>
    <t>AUXILIAR GESTION HUMANA</t>
  </si>
  <si>
    <t>AUXILIAR I DIVULGACION</t>
  </si>
  <si>
    <t>AUXILIAR I INVESTIGACION</t>
  </si>
  <si>
    <t>AUXILIAR II INVESTIGACION</t>
  </si>
  <si>
    <t>AUXILIAR III INVESTIGACION</t>
  </si>
  <si>
    <t>COMITE DEPARTAMENTAL DE CAFETEROS DE CAUCA</t>
  </si>
  <si>
    <t>AUXILIAR INVESTIGACION</t>
  </si>
  <si>
    <t>AUXILIAR IV INVESTIGACION</t>
  </si>
  <si>
    <t>AUXILIAR MANTENIMIENTO</t>
  </si>
  <si>
    <t>AUXILIAR MECANICA</t>
  </si>
  <si>
    <t>AUXILIAR PLANEACION FINANCIERA Y PRESUPU</t>
  </si>
  <si>
    <t>AUXILIAR REPESOS</t>
  </si>
  <si>
    <t>AUXILIAR SEGURIDAD INDUSTRIAL</t>
  </si>
  <si>
    <t>AUXILIAR SEGURIDAD PATRIMONIAL</t>
  </si>
  <si>
    <t>AUXILIAR SERVICIOS</t>
  </si>
  <si>
    <t>AUXILIAR SERVICIOS ESPECIALES</t>
  </si>
  <si>
    <t>AUXILIAR TESORERIA</t>
  </si>
  <si>
    <t>COMITE DEPARTAMENTAL DE CAFETEROS DE CESAR Y GUAJIRA</t>
  </si>
  <si>
    <t>AUXILIAR TIC</t>
  </si>
  <si>
    <t>AYUDANTE</t>
  </si>
  <si>
    <t>AYUDANTE I</t>
  </si>
  <si>
    <t>AYUDANTE I MANTENIMIENTO</t>
  </si>
  <si>
    <t>AYUDANTE II</t>
  </si>
  <si>
    <t>AYUDANTE REPESOS</t>
  </si>
  <si>
    <t>CONTADOR GENERAL</t>
  </si>
  <si>
    <t>COMITE DEPARTAMENTAL DE CAFETEROS DE CUNDINAMARCA</t>
  </si>
  <si>
    <t>COORDINADOR ADMINISTRATIVO</t>
  </si>
  <si>
    <t>COORDINADOR ALMACEN MATERIALES</t>
  </si>
  <si>
    <t>COORDINADOR ALMACEN PRODUCTO TERMINADO</t>
  </si>
  <si>
    <t>COORDINADOR APROVISIONAMIENTO</t>
  </si>
  <si>
    <t>COORDINADOR ASEGURAMIENTO QA</t>
  </si>
  <si>
    <t>COORDINADOR BIENES Y SERVICIOS</t>
  </si>
  <si>
    <t>COORDINADOR COMERCIAL</t>
  </si>
  <si>
    <t>COMITE DEPARTAMENTAL DE CAFETEROS DE HUILA</t>
  </si>
  <si>
    <t>COORDINADOR COMERCIAL CAFES ESPECIALES</t>
  </si>
  <si>
    <t>COORDINADOR COMERCIO SOSTENIBLE</t>
  </si>
  <si>
    <t>COORDINADOR COMPRAS</t>
  </si>
  <si>
    <t>COORDINADOR COMUNICACION AL CAFICULTOR</t>
  </si>
  <si>
    <t>COORDINADOR COMUNICACIONES</t>
  </si>
  <si>
    <t>COORDINADOR CONTABLE</t>
  </si>
  <si>
    <t>COORDINADOR DESARROLLO COOPERATIVO</t>
  </si>
  <si>
    <t>COORDINADOR DESARROLLO OPERACIONES</t>
  </si>
  <si>
    <t>COORDINADOR DESARROLLO SOCIAL</t>
  </si>
  <si>
    <t>COORDINADOR DISEÑO E IMAGEN</t>
  </si>
  <si>
    <t>COMITE DEPARTAMENTAL DE CAFETEROS DE MAGDALENA</t>
  </si>
  <si>
    <t>COORDINADOR DIVULGACION Y TRANSFERENCIA</t>
  </si>
  <si>
    <t>COORDINADOR DOCUMENTACION</t>
  </si>
  <si>
    <t>COORDINADOR EXPORTACIONES</t>
  </si>
  <si>
    <t>COORDINADOR FINANCIERO</t>
  </si>
  <si>
    <t>COORDINADOR FORTALECIMIENTO GREMIAL</t>
  </si>
  <si>
    <t>COMITE DEPARTAMENTAL DE CAFETEROS DE NARIÑO</t>
  </si>
  <si>
    <t>COORDINADOR GESTION CALIDAD</t>
  </si>
  <si>
    <t>COORDINADOR GESTION HUMANA</t>
  </si>
  <si>
    <t>COORDINADOR GESTION PROYECTOS</t>
  </si>
  <si>
    <t>COORDINADOR GESTION TRIBUTARIA</t>
  </si>
  <si>
    <t>COORDINADOR INFORMACION CAFETERA</t>
  </si>
  <si>
    <t>COORDINADOR INFRAESTRUCTURA</t>
  </si>
  <si>
    <t>COORDINADOR INGENIERIA</t>
  </si>
  <si>
    <t>COORDINADOR JURIDICO</t>
  </si>
  <si>
    <t>COMITE DEPARTAMENTAL DE CAFETEROS DE NORTE DE SANTANDER</t>
  </si>
  <si>
    <t>COORDINADOR LOGISTICA DISTRIBUCION</t>
  </si>
  <si>
    <t>COORDINADOR LOGISTICO CEDI</t>
  </si>
  <si>
    <t>COORDINADOR MANTENIMIENTO</t>
  </si>
  <si>
    <t>COORDINADOR MANTENIMIENTO EDIFICIOS</t>
  </si>
  <si>
    <t>COORDINADOR MERCADEO Y VENTAS</t>
  </si>
  <si>
    <t>COORDINADOR NACIONAL GESTION PROYECTOS</t>
  </si>
  <si>
    <t>COORDINADOR NOMINA</t>
  </si>
  <si>
    <t>COORDINADOR OPERACIONES</t>
  </si>
  <si>
    <t>COMITE DEPARTAMENTAL DE CAFETEROS DE QUINDIO</t>
  </si>
  <si>
    <t>COORDINADOR PLANEACION CADENA SUMINISTRO</t>
  </si>
  <si>
    <t>COORDINADOR PLANEACION Y CONTROL</t>
  </si>
  <si>
    <t>COORDINADOR PRESUPUESTO</t>
  </si>
  <si>
    <t>COORDINADOR PROCESO</t>
  </si>
  <si>
    <t>COORDINADOR PROGRAMA</t>
  </si>
  <si>
    <t>COORDINADOR PROGRAMA EQUIDAD GENERO</t>
  </si>
  <si>
    <t>COORDINADOR PROGRAMA NACIONAL</t>
  </si>
  <si>
    <t>COORDINADOR PROGRAMA PCC</t>
  </si>
  <si>
    <t>COORDINADOR PROGRAMA YARUMO</t>
  </si>
  <si>
    <t>COMITE DEPARTAMENTAL DE CAFETEROS DE RISARALDA</t>
  </si>
  <si>
    <t>COORDINADOR PROPIEDAD INTELECTUAL</t>
  </si>
  <si>
    <t>COORDINADOR PROYECTOS INMOBILIARIOS</t>
  </si>
  <si>
    <t>COORDINADOR RELACIONES PUBLICAS</t>
  </si>
  <si>
    <t>COORDINADOR REPESOS</t>
  </si>
  <si>
    <t>COORDINADOR SECCIONAL EXTENSION RURAL</t>
  </si>
  <si>
    <t>COORDINADOR SEGURIDAD FISICA</t>
  </si>
  <si>
    <t>COORDINADOR SEGURIDAD INDUSTRIAL</t>
  </si>
  <si>
    <t>COORDINADOR SERVICIOS SALUD</t>
  </si>
  <si>
    <t>COMITE DEPARTAMENTAL DE CAFETEROS DE SANTANDER</t>
  </si>
  <si>
    <t>COORDINADOR SERVICIOS TIC</t>
  </si>
  <si>
    <t>COORDINADOR TIC</t>
  </si>
  <si>
    <t>COORDINADOR VENTAS</t>
  </si>
  <si>
    <t>DIBUJANTE</t>
  </si>
  <si>
    <t>DIRECTOR</t>
  </si>
  <si>
    <t>DIRECTOR ADMINISTRATIVO</t>
  </si>
  <si>
    <t>COMITE DEPARTAMENTAL DE CAFETEROS DE TOLIMA</t>
  </si>
  <si>
    <t>DIRECTOR ADMINISTRATIVO Y FINANCIERO</t>
  </si>
  <si>
    <t>DIRECTOR ASUNTOS GREMIALES</t>
  </si>
  <si>
    <t>DIRECTOR CADENA SUMINISTROS</t>
  </si>
  <si>
    <t>DIRECTOR CALIDAD</t>
  </si>
  <si>
    <t>DIRECTOR COMERCIAL</t>
  </si>
  <si>
    <t>DIRECTOR COMERCIAL CAFES ESPECIALES</t>
  </si>
  <si>
    <t>DIRECTOR COMUNICACION CORPORATIVA</t>
  </si>
  <si>
    <t>DIRECTOR COOPERATIVAS</t>
  </si>
  <si>
    <t>DIRECTOR DESARROLLO ORGANIZACIONAL</t>
  </si>
  <si>
    <t>DIRECTOR DESARROLLO SOCIAL</t>
  </si>
  <si>
    <t>DIRECTOR EJECUTIVO</t>
  </si>
  <si>
    <t>COMITE DEPARTAMENTAL DE CAFETEROS DE VALLE</t>
  </si>
  <si>
    <t>DIRECTOR GENERAL</t>
  </si>
  <si>
    <t>DIRECTOR GESTION HUMANA</t>
  </si>
  <si>
    <t>DIRECTOR INGENIERIA</t>
  </si>
  <si>
    <t>DIRECTOR INVESTIGACION CIENTIFICA Y TECN</t>
  </si>
  <si>
    <t>DIRECTOR INVESTIGACION Y DESARROLLO</t>
  </si>
  <si>
    <t>DIRECTOR INVESTIGACIONES ECONOMICAS</t>
  </si>
  <si>
    <t>DIRECTOR JURIDICO</t>
  </si>
  <si>
    <t>DIRECTOR LOGISTICA</t>
  </si>
  <si>
    <t>DIRECTOR MERCADEO Y RELACIONES PUBLICAS</t>
  </si>
  <si>
    <t>DIRECTOR NACIONAL GESTION PROYECTOS</t>
  </si>
  <si>
    <t>DIRECTOR OF COORDINADORAS Y TERRITORIOS</t>
  </si>
  <si>
    <t>INSPECCION CAFETERA DE BUENAVENTURA</t>
  </si>
  <si>
    <t>DIRECTOR PLANEACION COMERCIAL</t>
  </si>
  <si>
    <t>DIRECTOR PLANEACION FINANCIERA Y PRESUPU</t>
  </si>
  <si>
    <t>DIRECTOR PROCESO</t>
  </si>
  <si>
    <t>INSPECCION CAFETERA DE CARTAGENA</t>
  </si>
  <si>
    <t>DIRECTOR RIESGO CORPORATIVO</t>
  </si>
  <si>
    <t>DIRECTOR RIESGO FINANCIERO</t>
  </si>
  <si>
    <t>DISEÑADOR GRAFICO JUNIOR</t>
  </si>
  <si>
    <t>DISEÑADOR GRAFICO SENIOR</t>
  </si>
  <si>
    <t>INSPECCION CAFETERA DE SANTA MARTA</t>
  </si>
  <si>
    <t>EJECUTIVO VENTAS OFICINA CHINA</t>
  </si>
  <si>
    <t>ELECTRICISTA</t>
  </si>
  <si>
    <t>ENCARGADO FINCA</t>
  </si>
  <si>
    <t>ASESORIA ESTRATEGIA E INNOVACION</t>
  </si>
  <si>
    <t>OFICINA CENTRAL</t>
  </si>
  <si>
    <t>ENFERMERA</t>
  </si>
  <si>
    <t>AUDITORIA</t>
  </si>
  <si>
    <t>ESPECIALISTA APROVISIONAMIENTO</t>
  </si>
  <si>
    <t>COORDINACION APROVISIONAMIENTO</t>
  </si>
  <si>
    <t>ESPECIALISTA ARQUITECTURA TECNOLOGICA</t>
  </si>
  <si>
    <t>COORDINACION ASEGURAMIENTO QA</t>
  </si>
  <si>
    <t>ESPECIALISTA BIENES Y SERVICIOS</t>
  </si>
  <si>
    <t>ESPECIALISTA COMERCIO SOSTENIBLE</t>
  </si>
  <si>
    <t>COORDINACION COMERCIAL CAFES ESPECIALES</t>
  </si>
  <si>
    <t>ESPECIALISTA COMUNICACIONES</t>
  </si>
  <si>
    <t>COORDINACION COMERCIO SOSTENIBLE</t>
  </si>
  <si>
    <t>ESPECIALISTA CONTABLE</t>
  </si>
  <si>
    <t>ESPECIALISTA COOPERATIVAS</t>
  </si>
  <si>
    <t>COORDINACION COMUNICACIONES AL CAFICULTOR</t>
  </si>
  <si>
    <t>ESPECIALISTA DESARROLLO ORGANIZACIONAL</t>
  </si>
  <si>
    <t>ESPECIALISTA DESARROLLO SOCIAL</t>
  </si>
  <si>
    <t>COORDINACION GESTION TRIBUTARIA</t>
  </si>
  <si>
    <t>ESPECIALISTA ESTRATEGIA</t>
  </si>
  <si>
    <t>COORDINACION INFORMACION CAFETERA</t>
  </si>
  <si>
    <t>ESPECIALISTA FINANCIERO</t>
  </si>
  <si>
    <t>COORDINACION NOMINA</t>
  </si>
  <si>
    <t>ESPECIALISTA FORTALECIMIENTO GREMIAL</t>
  </si>
  <si>
    <t>COORDINACION PROGRAMA NACIONAL SICA</t>
  </si>
  <si>
    <t>ESPECIALISTA GESTION HUMANA</t>
  </si>
  <si>
    <t>COORDINACION PROPIEDAD INTELECTUAL</t>
  </si>
  <si>
    <t>ESPECIALISTA GESTION TRIBUTARIA</t>
  </si>
  <si>
    <t>COORDINACION PROYECTOS INMOBILIARIOS</t>
  </si>
  <si>
    <t>ESPECIALISTA INFORMACION CAFETERA</t>
  </si>
  <si>
    <t>COORDINACION SEGURIDAD FISICA</t>
  </si>
  <si>
    <t>ESPECIALISTA INFRAESTRUCTURA</t>
  </si>
  <si>
    <t>COORDINACION SERVICIOS TIC</t>
  </si>
  <si>
    <t>ESPECIALISTA INNOVACION</t>
  </si>
  <si>
    <t>COORDINACION VENTAS</t>
  </si>
  <si>
    <t>ESPECIALISTA INVESTIGACIONES ECONOMICAS</t>
  </si>
  <si>
    <t>DIRECCION ASUNTOS GREMIALES</t>
  </si>
  <si>
    <t>ESPECIALISTA LOGISTICA</t>
  </si>
  <si>
    <t>DIRECCION COMERCIAL CAFES ESPECIALES</t>
  </si>
  <si>
    <t>ESPECIALISTA MANTENIMIENTO APP</t>
  </si>
  <si>
    <t>DIRECCION COMUNICACIONES CORPORATIVAS</t>
  </si>
  <si>
    <t>ESPECIALISTA MERCADEO</t>
  </si>
  <si>
    <t>DIRECCION CONTABLE</t>
  </si>
  <si>
    <t>ESPECIALISTA OPERACIONES CALIDAD</t>
  </si>
  <si>
    <t>DIRECCION COOPERATIVAS</t>
  </si>
  <si>
    <t>ESPECIALISTA PLANEACION COMERCIAL</t>
  </si>
  <si>
    <t>DIRECCION DE TESORERIA</t>
  </si>
  <si>
    <t>ESPECIALISTA PLANEACION FINANCIERA Y PRE</t>
  </si>
  <si>
    <t>DIRECCION DESARROLLO ORGANIZACIONAL</t>
  </si>
  <si>
    <t>ESPECIALISTA PROYECTOS</t>
  </si>
  <si>
    <t>DIRECCION DESARROLLO SOCIAL</t>
  </si>
  <si>
    <t>ESPECIALISTA RELACIONES PUBLICAS</t>
  </si>
  <si>
    <t>DIRECCION EXTENSION RURAL</t>
  </si>
  <si>
    <t>ESPECIALISTA RIESGO FINANCIERO</t>
  </si>
  <si>
    <t>ESPECIALISTA RIESGO Y CUMPLIMIENTO</t>
  </si>
  <si>
    <t>DIRECCION INVESTIGACIONES ECONOMICAS</t>
  </si>
  <si>
    <t>ESPECIALISTA SALUD OCUPACIONAL</t>
  </si>
  <si>
    <t>DIRECCION JURIDICA</t>
  </si>
  <si>
    <t>ESPECIALISTA SERVICIOS TIC</t>
  </si>
  <si>
    <t>DIRECCION LOGISTICA</t>
  </si>
  <si>
    <t>ESPECIALISTA SISTEMA INFO GEOGRAFICA</t>
  </si>
  <si>
    <t>DIRECCION MERCADEO Y RELACIONES PUBLICAS</t>
  </si>
  <si>
    <t>ESPECIALISTA TESORERIA</t>
  </si>
  <si>
    <t>DIRECCION NACIONAL DE GESTION DE PROYECTOS</t>
  </si>
  <si>
    <t>ESPECIALISTA TIC</t>
  </si>
  <si>
    <t>DIRECCION OFICINAS COORDINADORAS</t>
  </si>
  <si>
    <t>ESPECIALISTA VENTAS</t>
  </si>
  <si>
    <t>DIRECCION PLANEACION COMERCIAL</t>
  </si>
  <si>
    <t>ESTRUCTURADOR PROYECTOS</t>
  </si>
  <si>
    <t>DIRECCION PLANEACION FINANCIERA Y PRESUPUESTO</t>
  </si>
  <si>
    <t>EXTENSIONISTA</t>
  </si>
  <si>
    <t>GERENTE ADMINISTRATIVO Y FINANCIERO</t>
  </si>
  <si>
    <t>GERENTE COMERCIAL</t>
  </si>
  <si>
    <t>GERENTE GENERAL</t>
  </si>
  <si>
    <t>GERENTE TECNICO</t>
  </si>
  <si>
    <t>GESTOR PROYECTO</t>
  </si>
  <si>
    <t>INGENIERO DESARROLLO CALIDAD</t>
  </si>
  <si>
    <t>INGENIERO INVESTIGACION Y DESARROLLO</t>
  </si>
  <si>
    <t>INGENIERO PROCESO</t>
  </si>
  <si>
    <t>INSPECTOR CAFETERO</t>
  </si>
  <si>
    <t>INSTRUMENTISTA</t>
  </si>
  <si>
    <t>OFICINAS COORDINADORAS Y OTROS TERRITORIOS</t>
  </si>
  <si>
    <t>INSTRUMENTISTA I</t>
  </si>
  <si>
    <t>INSTRUMENTISTA II</t>
  </si>
  <si>
    <t>INSTRUMENTISTA III</t>
  </si>
  <si>
    <t>INVESTIGADOR CIENTIFICO I</t>
  </si>
  <si>
    <t>INVESTIGADOR CIENTIFICO II</t>
  </si>
  <si>
    <t>INVESTIGADOR CIENTIFICO III</t>
  </si>
  <si>
    <t>INVESTIGADOR PRINCIPAL</t>
  </si>
  <si>
    <t>INVESTIGADOR SENIOR</t>
  </si>
  <si>
    <t>LIDER DEPARTAMENTAL EXTENSION RURAL</t>
  </si>
  <si>
    <t>LIDER DESARROLLO SOCIAL</t>
  </si>
  <si>
    <t>LIDER EQUIPO PROYECTO</t>
  </si>
  <si>
    <t>LIDER GESTION PROYECTOS</t>
  </si>
  <si>
    <t>LIDER NACIONAL EXTENSION RURAL</t>
  </si>
  <si>
    <t>MECANICO</t>
  </si>
  <si>
    <t>MECANICO I</t>
  </si>
  <si>
    <t>MECANICO II</t>
  </si>
  <si>
    <t>MECANICO III</t>
  </si>
  <si>
    <t>OPERADOR</t>
  </si>
  <si>
    <t>OPERADOR I</t>
  </si>
  <si>
    <t>OPERADOR II</t>
  </si>
  <si>
    <t>OPERADOR III</t>
  </si>
  <si>
    <t>PASANTE</t>
  </si>
  <si>
    <t>PROFESIONAL DESARROLLO SOCIAL</t>
  </si>
  <si>
    <t>PROFESIONAL DISEÑO E IMAGEN</t>
  </si>
  <si>
    <t>PROFESIONAL EN ENTRENAMIENTO</t>
  </si>
  <si>
    <t>PROFESIONAL GESTION HUMANA</t>
  </si>
  <si>
    <t>PROFESIONAL LOGISTICA DISTRIBUCION</t>
  </si>
  <si>
    <t>PROFESIONAL PLANEACION CADENA SUMINISTRO</t>
  </si>
  <si>
    <t>PROFESIONAL PROYECTO</t>
  </si>
  <si>
    <t>PROMOTOR DESARROLLO RURAL</t>
  </si>
  <si>
    <t>RECEPCIONISTA</t>
  </si>
  <si>
    <t>SECRETARIA PRIVADA</t>
  </si>
  <si>
    <t>SECRETARIO GENERAL</t>
  </si>
  <si>
    <t>SUPERVISOR ESCOLTAS</t>
  </si>
  <si>
    <t>SUPERVISOR REPESOS</t>
  </si>
  <si>
    <t>SUPERVISOR SEGURIDAD</t>
  </si>
  <si>
    <t>SUSTITUCION PATRONAL</t>
  </si>
  <si>
    <t>TECNOLOGO ACREEDORES Y DEUDORES</t>
  </si>
  <si>
    <t>TESORERO AUXILIAR</t>
  </si>
  <si>
    <t>TESORERO GENERAL</t>
  </si>
  <si>
    <t>TRABAJADOR AGROPECUARIO</t>
  </si>
  <si>
    <t>TRAMITADOR DOCUMENTOS</t>
  </si>
  <si>
    <t>|</t>
  </si>
  <si>
    <t>ABOGADO</t>
  </si>
  <si>
    <t>3. TACTICO</t>
  </si>
  <si>
    <t>ADMINISTRADOR</t>
  </si>
  <si>
    <t>5. OPERATIVO</t>
  </si>
  <si>
    <t>4. FUNCIONAL</t>
  </si>
  <si>
    <t>ASESOR</t>
  </si>
  <si>
    <t>1. ESTRATEGICO</t>
  </si>
  <si>
    <t>2. EJECUTIVO</t>
  </si>
  <si>
    <t>ASISTENTE</t>
  </si>
  <si>
    <t>AUDITOR</t>
  </si>
  <si>
    <t>AUXILIAR</t>
  </si>
  <si>
    <t>CONTADOR</t>
  </si>
  <si>
    <t>COORDINADOR</t>
  </si>
  <si>
    <t>DISEÑADOR</t>
  </si>
  <si>
    <t>EJECUTIVO</t>
  </si>
  <si>
    <t>ENCARGADO</t>
  </si>
  <si>
    <t>ESPECIALISTA</t>
  </si>
  <si>
    <t>ESTRUCTURADOR</t>
  </si>
  <si>
    <t>GERENTE</t>
  </si>
  <si>
    <t>GESTOR</t>
  </si>
  <si>
    <t>INGENIERO</t>
  </si>
  <si>
    <t>INSPECTOR</t>
  </si>
  <si>
    <t>INVESTIGADOR</t>
  </si>
  <si>
    <t>LIDER</t>
  </si>
  <si>
    <t>PROFESIONAL</t>
  </si>
  <si>
    <t>PROMOTOR</t>
  </si>
  <si>
    <t>SECRETARIA</t>
  </si>
  <si>
    <t>SECRETARIO</t>
  </si>
  <si>
    <t>SUPERVISOR</t>
  </si>
  <si>
    <t>SUSTITUCION</t>
  </si>
  <si>
    <t>TECNOLOGO</t>
  </si>
  <si>
    <t>TESORERO</t>
  </si>
  <si>
    <t>TRAMITADOR</t>
  </si>
  <si>
    <t>Proceso</t>
  </si>
  <si>
    <t>DIV DE PERS</t>
  </si>
  <si>
    <t>emp</t>
  </si>
  <si>
    <t>MES</t>
  </si>
  <si>
    <t>DIAS MES</t>
  </si>
  <si>
    <t>TARIFAS</t>
  </si>
  <si>
    <t>TARIFAS USD</t>
  </si>
  <si>
    <t>Tipo</t>
  </si>
  <si>
    <t>Gerencia Administrativa</t>
  </si>
  <si>
    <t>ADM</t>
  </si>
  <si>
    <t>DESARROLLAR EXTENSIÓN RURAL</t>
  </si>
  <si>
    <t>ENERO</t>
  </si>
  <si>
    <t>Gerencia Comercial</t>
  </si>
  <si>
    <t>COM</t>
  </si>
  <si>
    <t>GERENCIA ADMINISTRATIVA</t>
  </si>
  <si>
    <t>ALMACAFÉ</t>
  </si>
  <si>
    <t>FEBRERO</t>
  </si>
  <si>
    <t>EXTERIOR</t>
  </si>
  <si>
    <t>Ger. de Comunicaciones y Mercadeo</t>
  </si>
  <si>
    <t>COMU</t>
  </si>
  <si>
    <t>GESTIÓN HUMANA</t>
  </si>
  <si>
    <t>Gerencia Financiera</t>
  </si>
  <si>
    <t>FIN</t>
  </si>
  <si>
    <t>GESTIONAR BIENES Y SERVICIOS</t>
  </si>
  <si>
    <t>ABRIL</t>
  </si>
  <si>
    <t>Gerencia General</t>
  </si>
  <si>
    <t>GEN</t>
  </si>
  <si>
    <t>DESARROLLO ORGANIZACIONAL</t>
  </si>
  <si>
    <t>ASESOR GENERENCIA GENERAL</t>
  </si>
  <si>
    <t>MAYO</t>
  </si>
  <si>
    <t>Gerencia Técnica</t>
  </si>
  <si>
    <t>TEC</t>
  </si>
  <si>
    <t>GESTIONAR LA ESTRATEGIA</t>
  </si>
  <si>
    <t>JUNIO</t>
  </si>
  <si>
    <t>Gestión de Proyectos</t>
  </si>
  <si>
    <t>PRY</t>
  </si>
  <si>
    <t>GESTIONAR TALENTO HUMANO</t>
  </si>
  <si>
    <t>JULIO</t>
  </si>
  <si>
    <t>Buencafé Liofilizado</t>
  </si>
  <si>
    <t>BCAFE</t>
  </si>
  <si>
    <t>TECNOLOGIA DE INFORMACION Y COMUNICACIONES (TIC)</t>
  </si>
  <si>
    <t>AGOSTO</t>
  </si>
  <si>
    <t>Cenicafé</t>
  </si>
  <si>
    <t>CENIC</t>
  </si>
  <si>
    <t>OFICINAS COORDINADORAS</t>
  </si>
  <si>
    <t>SEPTIEMBRE</t>
  </si>
  <si>
    <t>Oficina Coordinadora</t>
  </si>
  <si>
    <t>COOR</t>
  </si>
  <si>
    <t>SEGURIDAD CORPORATIVA</t>
  </si>
  <si>
    <t>OCTUBRE</t>
  </si>
  <si>
    <t>Falta el Grupo</t>
  </si>
  <si>
    <t>Inspecciones Cafeteras</t>
  </si>
  <si>
    <t>INSP</t>
  </si>
  <si>
    <t>SUMINISTRAR SERVICIOS</t>
  </si>
  <si>
    <t>NOVIEMBRE</t>
  </si>
  <si>
    <t>UNIDAD ADMINISTRATIVA</t>
  </si>
  <si>
    <t>DICIEMBRE</t>
  </si>
  <si>
    <t>VIGILANCIA</t>
  </si>
  <si>
    <t>CADENA DE SUMINISTRO</t>
  </si>
  <si>
    <t>DIRECTOR DE PROCESO SEDE BOGOTÁ</t>
  </si>
  <si>
    <t>CONTROL Y EJECUCION DE POLITICA CAFETERA</t>
  </si>
  <si>
    <t>DIVISION DE COOPERATIVAS</t>
  </si>
  <si>
    <t>DIRECTOR GENERAL BUENCAFE</t>
  </si>
  <si>
    <t>GESTIONAR RIESGO COMERCIAL</t>
  </si>
  <si>
    <t>PLANEACION E INNOVACION COMERCIAL</t>
  </si>
  <si>
    <t>PLANEACION TACTICA</t>
  </si>
  <si>
    <t>VINCULAR Y FIDELIZAR CLIENTES</t>
  </si>
  <si>
    <t>GERENTE DE AREA</t>
  </si>
  <si>
    <t>COMUNICACION INTERNA</t>
  </si>
  <si>
    <t>COMUNICACION Y MERCADEO</t>
  </si>
  <si>
    <t>GESTOR PROYECTOS</t>
  </si>
  <si>
    <t>MEDIOS</t>
  </si>
  <si>
    <t>MERCADEO Y PUBLICIDAD</t>
  </si>
  <si>
    <t>PROPIEDAD INTELECTUAL</t>
  </si>
  <si>
    <t>RELACIONES PUBLICAS</t>
  </si>
  <si>
    <t>INVESTIGADOR CIENTIFICO</t>
  </si>
  <si>
    <t>GESTION CONTABLE</t>
  </si>
  <si>
    <t>GESTION DE TESORERIA</t>
  </si>
  <si>
    <t>GESTION TRIBUTARIA</t>
  </si>
  <si>
    <t>PLANEACION FINANCIERA Y PRESUPUESTO</t>
  </si>
  <si>
    <t>UNIDAD FINANCIERA</t>
  </si>
  <si>
    <t>RIESGO CORPORATIVO</t>
  </si>
  <si>
    <t>OTROS DIRECTORES</t>
  </si>
  <si>
    <t>INVESTIGACIONES SECTORIALES Y GREMIALES</t>
  </si>
  <si>
    <t>PROFESIONAL LOGISTICA</t>
  </si>
  <si>
    <t>JURIDICA</t>
  </si>
  <si>
    <t>ASUNTOS GREMIALES</t>
  </si>
  <si>
    <t>DESARROLLO SOCIAL</t>
  </si>
  <si>
    <t>TECNÓLOGO</t>
  </si>
  <si>
    <t>OF. COORDINADORA CAQUETÁ</t>
  </si>
  <si>
    <t>OF.COORDINADORA CASANARE</t>
  </si>
  <si>
    <t>OF.COORDINADORA META</t>
  </si>
  <si>
    <t>ADMINISTRATIVOS</t>
  </si>
  <si>
    <t>ANALISIS BACTERIOLOGICO</t>
  </si>
  <si>
    <t>ANALISIS DE EXTRACTO</t>
  </si>
  <si>
    <t>ANALISIS DE MATERIAL DE EMPAQUE</t>
  </si>
  <si>
    <t>ANALISIS DE PRODUCTO EMPACADO</t>
  </si>
  <si>
    <t>ANALISIS DE PRODUCTO TERMINADO</t>
  </si>
  <si>
    <t>ANALISIS ESPECIALES</t>
  </si>
  <si>
    <t>CONCENTRACION</t>
  </si>
  <si>
    <t>DESARROLLAR PROCESOS</t>
  </si>
  <si>
    <t>DESARROLLAR PRODUCTOS</t>
  </si>
  <si>
    <t>DESARROLLO PERSONAL Y ORGANIZACIONAL</t>
  </si>
  <si>
    <t>DIBUJO</t>
  </si>
  <si>
    <t>DIRECCION FABRICA</t>
  </si>
  <si>
    <t>DISEÑO E IMAGEN CORPORATIVA</t>
  </si>
  <si>
    <t>EMPAQUE A GRANEL</t>
  </si>
  <si>
    <t>EXTRACCION</t>
  </si>
  <si>
    <t>FINANCIEROS</t>
  </si>
  <si>
    <t>GENERACION DE VAPOR</t>
  </si>
  <si>
    <t>GESTION ADMINISTRATIVA</t>
  </si>
  <si>
    <t>GESTION AMBIENTAL</t>
  </si>
  <si>
    <t>GESTION APROVISIONAMIENTO</t>
  </si>
  <si>
    <t>GESTION COMERCIAL</t>
  </si>
  <si>
    <t>GESTION DE LA CALIDAD</t>
  </si>
  <si>
    <t>GESTION DE LA PRODUCCION</t>
  </si>
  <si>
    <t>GESTION DEL MANTENIMIENTO</t>
  </si>
  <si>
    <t>GESTION FINANCIERA</t>
  </si>
  <si>
    <t>GESTIONAR LOGISTICA DE DISTRIBUCION</t>
  </si>
  <si>
    <t>GESTIONAR TECNOLOGIA DE INFO Y COMUNICAC</t>
  </si>
  <si>
    <t>INNVOVAR PRODUCTOS Y PROCESOS</t>
  </si>
  <si>
    <t>LIOFILIZACION</t>
  </si>
  <si>
    <t>LOGISTICA DE DISTRIBUCION</t>
  </si>
  <si>
    <t>MANTENIMIENTO DE EDIFICIOS</t>
  </si>
  <si>
    <t>MANTENIMIENTO DE INSTRUMENTOS</t>
  </si>
  <si>
    <t>MANTENIMIENTO ELECTRICO</t>
  </si>
  <si>
    <t>MANTENIMIENTO MECANICO DE PRODUCCION</t>
  </si>
  <si>
    <t>MANTENIMIENTO MECANICO DE SERVICIOS</t>
  </si>
  <si>
    <t>PRODUCTO TERMINADO</t>
  </si>
  <si>
    <t>REFRIGERACION</t>
  </si>
  <si>
    <t>REPROCESOS</t>
  </si>
  <si>
    <t>SEGURIDAD INDUSTRIAL</t>
  </si>
  <si>
    <t>SERVICIOS GENERALES</t>
  </si>
  <si>
    <t>TOSTACION</t>
  </si>
  <si>
    <t>TRATAMIENTO DE AGUAS</t>
  </si>
  <si>
    <t>V</t>
  </si>
  <si>
    <t>POR FAVOR INDIQUE EL PROCESO</t>
  </si>
  <si>
    <t>AGROCLIMATOLOGIA</t>
  </si>
  <si>
    <t>BIOLOGIA DE LA CONSERVACION</t>
  </si>
  <si>
    <t>BIOMETRIA</t>
  </si>
  <si>
    <t>CALIDAD</t>
  </si>
  <si>
    <t>DIRECCIÓN</t>
  </si>
  <si>
    <t>DIVULGACIÓN Y TRASNSFERENCIA</t>
  </si>
  <si>
    <t>DOCUMENTACIÓN</t>
  </si>
  <si>
    <t>ECONOMIA</t>
  </si>
  <si>
    <t>ENTOMOLOGÍA</t>
  </si>
  <si>
    <t>ESTACION EXP PARAGUAICITO - BUENAVIST</t>
  </si>
  <si>
    <t>ESTACION EXPERIME LA CATALINA - PEREIRA</t>
  </si>
  <si>
    <t>ESTACION EXPERIMEN EL ROSARIO - VENECIA</t>
  </si>
  <si>
    <t>ESTACIÓN EXPERIMENTAC PUEBLO BELLO CESAR</t>
  </si>
  <si>
    <t>ESTACION EXPERIMENTAL EL LIBANO - TOLIMA</t>
  </si>
  <si>
    <t>ESTACION EXPERIMENTAL EL TAMBO - CAUCA</t>
  </si>
  <si>
    <t>ESTACION EXPERIMENTAL FLORIDA SANTANDER</t>
  </si>
  <si>
    <t>ESTACION EXPERIMENTAL NARANJAL</t>
  </si>
  <si>
    <t>EXPERIMENTACION</t>
  </si>
  <si>
    <t>FISIOLOGÍA VEGETAL</t>
  </si>
  <si>
    <t>FITOPATOLOGÍA</t>
  </si>
  <si>
    <t>FITOTECNIA</t>
  </si>
  <si>
    <t>GESTION DE RECURSOS NATURALES Y CONSERVA</t>
  </si>
  <si>
    <t>GESTIONAR TECNOLOGIA DE INFORM Y COMUNIC</t>
  </si>
  <si>
    <t>INGENIERIA AGRICOLA</t>
  </si>
  <si>
    <t>MEJORAMIENTO GENETICO</t>
  </si>
  <si>
    <t>PROCESOS ADMINISTRATIVOS Y FINANCIEROS</t>
  </si>
  <si>
    <t>SOSTENIBILIDAD</t>
  </si>
  <si>
    <t>SUELOS</t>
  </si>
  <si>
    <t>INSPECAFÉ BUENAVENTURA</t>
  </si>
  <si>
    <t>INSPECAFÉ CARTAGENA</t>
  </si>
  <si>
    <t>INSPECAFÉ SANTA MARTA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</si>
</sst>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;;;"/>
    <numFmt numFmtId="165" formatCode="00"/>
    <numFmt numFmtId="166" formatCode="yyyy\-mm\-dd"/>
    <numFmt numFmtId="167" formatCode="_(* #,##0.00_);_(* \(#,##0.00\);_(* &quot;-&quot;??_);_(@_)"/>
    <numFmt numFmtId="168" formatCode="_(* #,##0_);_(* \(#,##0\);_(* &quot;-&quot;??_);_(@_)"/>
    <numFmt numFmtId="169" formatCode="_(* #,##0_);_(* \(#,##0\);_(* &quot;-&quot;_);_(@_)"/>
    <numFmt numFmtId="170" formatCode="[$$-4809]#,##0.00"/>
    <numFmt numFmtId="171" formatCode="[$$-2C0A]#,##0"/>
  </numFmts>
  <fonts count="51">
    <font>
      <sz val="10.0"/>
      <color rgb="FF000000"/>
      <name val="Times New Roman"/>
      <scheme val="minor"/>
    </font>
    <font>
      <sz val="8.0"/>
      <color theme="1"/>
      <name val="Tahoma"/>
    </font>
    <font>
      <b/>
      <sz val="9.0"/>
      <color theme="1"/>
      <name val="Tahoma"/>
    </font>
    <font>
      <sz val="14.0"/>
      <color theme="1"/>
      <name val="Tahoma"/>
    </font>
    <font>
      <b/>
      <u/>
      <sz val="14.0"/>
      <color theme="1"/>
      <name val="Tahoma"/>
    </font>
    <font>
      <sz val="8.0"/>
      <color theme="0"/>
      <name val="Tahoma"/>
    </font>
    <font/>
    <font>
      <b/>
      <sz val="10.0"/>
      <color theme="1"/>
      <name val="Arial"/>
    </font>
    <font>
      <b/>
      <sz val="12.0"/>
      <color rgb="FFFF0000"/>
      <name val="Tahoma"/>
    </font>
    <font>
      <b/>
      <sz val="11.0"/>
      <color rgb="FF00FF00"/>
      <name val="Tahoma"/>
    </font>
    <font>
      <u/>
      <sz val="7.0"/>
      <color rgb="FF0000FF"/>
      <name val="Times New Roman"/>
    </font>
    <font>
      <sz val="10.0"/>
      <color theme="1"/>
      <name val="Tahoma"/>
    </font>
    <font>
      <b/>
      <sz val="8.0"/>
      <color theme="1"/>
      <name val="Tahoma"/>
    </font>
    <font>
      <b/>
      <sz val="10.0"/>
      <color theme="1"/>
      <name val="Tahoma"/>
    </font>
    <font>
      <sz val="10.0"/>
      <color theme="1"/>
      <name val="A1"/>
    </font>
    <font>
      <b/>
      <sz val="10.0"/>
      <color rgb="FF00FF00"/>
      <name val="Tahoma"/>
    </font>
    <font>
      <sz val="10.0"/>
      <color theme="1"/>
      <name val="Times New Roman"/>
    </font>
    <font>
      <b/>
      <sz val="10.0"/>
      <color rgb="FF0000FF"/>
      <name val="Tahoma"/>
    </font>
    <font>
      <b/>
      <sz val="11.0"/>
      <color rgb="FF800000"/>
      <name val="Tahoma"/>
    </font>
    <font>
      <sz val="11.0"/>
      <color theme="1"/>
      <name val="Arial"/>
    </font>
    <font>
      <b/>
      <sz val="8.0"/>
      <color rgb="FFFFFFFF"/>
      <name val="Tahoma"/>
    </font>
    <font>
      <sz val="9.0"/>
      <color theme="1"/>
      <name val="Tahoma"/>
    </font>
    <font>
      <b/>
      <sz val="10.0"/>
      <color rgb="FFFFFFFF"/>
      <name val="Tahoma"/>
    </font>
    <font>
      <sz val="7.0"/>
      <color rgb="FFFFFFFF"/>
      <name val="Tahoma"/>
    </font>
    <font>
      <b/>
      <sz val="7.0"/>
      <color rgb="FFFFFFFF"/>
      <name val="Times New Roman"/>
    </font>
    <font>
      <b/>
      <sz val="9.0"/>
      <color rgb="FFFFFFFF"/>
      <name val="Tahoma"/>
    </font>
    <font>
      <sz val="8.0"/>
      <color rgb="FFFFFFFF"/>
      <name val="Tahoma"/>
    </font>
    <font>
      <b/>
      <sz val="7.0"/>
      <color rgb="FFFFFFFF"/>
      <name val="Tahoma"/>
    </font>
    <font>
      <b/>
      <u/>
      <sz val="12.0"/>
      <color rgb="FF0000FF"/>
      <name val="Times New Roman"/>
    </font>
    <font>
      <sz val="8.0"/>
      <color rgb="FF969696"/>
      <name val="Tahoma"/>
    </font>
    <font>
      <b/>
      <sz val="14.0"/>
      <color rgb="FFFFFF99"/>
      <name val="Tahoma"/>
    </font>
    <font>
      <b/>
      <sz val="14.0"/>
      <color rgb="FFFF0000"/>
      <name val="Tahoma"/>
    </font>
    <font>
      <b/>
      <sz val="11.0"/>
      <color theme="1"/>
      <name val="Tahoma"/>
    </font>
    <font>
      <b/>
      <u/>
      <sz val="12.0"/>
      <color rgb="FFFF0000"/>
      <name val="Tahoma"/>
    </font>
    <font>
      <sz val="11.0"/>
      <color theme="1"/>
      <name val="Tahoma"/>
    </font>
    <font>
      <b/>
      <sz val="11.0"/>
      <color rgb="FFFF0000"/>
      <name val="Tahoma"/>
    </font>
    <font>
      <sz val="8.0"/>
      <color rgb="FFFF0000"/>
      <name val="Tahoma"/>
    </font>
    <font>
      <b/>
      <u/>
      <sz val="7.0"/>
      <color rgb="FF0000FF"/>
      <name val="Times New Roman"/>
    </font>
    <font>
      <b/>
      <sz val="12.0"/>
      <color theme="1"/>
      <name val="Tahoma"/>
    </font>
    <font>
      <sz val="12.0"/>
      <color theme="1"/>
      <name val="Tahoma"/>
    </font>
    <font>
      <b/>
      <sz val="10.0"/>
      <color rgb="FF800000"/>
      <name val="Tahoma"/>
    </font>
    <font>
      <b/>
      <sz val="8.0"/>
      <color rgb="FF800000"/>
      <name val="Tahoma"/>
    </font>
    <font>
      <sz val="11.0"/>
      <color theme="1"/>
      <name val="Calibri"/>
    </font>
    <font>
      <b/>
      <sz val="10.0"/>
      <color theme="1"/>
      <name val="Times New Roman"/>
    </font>
    <font>
      <b/>
      <sz val="11.0"/>
      <color theme="1"/>
      <name val="Calibri"/>
    </font>
    <font>
      <color theme="1"/>
      <name val="Times New Roman"/>
      <scheme val="minor"/>
    </font>
    <font>
      <sz val="10.0"/>
      <color rgb="FF808080"/>
      <name val="Tahoma"/>
    </font>
    <font>
      <b/>
      <sz val="10.0"/>
      <color rgb="FF000080"/>
      <name val="Tahoma"/>
    </font>
    <font>
      <b/>
      <sz val="10.0"/>
      <color rgb="FF808080"/>
      <name val="Tahoma"/>
    </font>
    <font>
      <b/>
      <sz val="10.0"/>
      <color rgb="FFC0C0C0"/>
      <name val="Tahoma"/>
    </font>
    <font>
      <sz val="10.0"/>
      <color rgb="FFC0C0C0"/>
      <name val="Tahoma"/>
    </font>
  </fonts>
  <fills count="1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  <fill>
      <patternFill patternType="solid">
        <fgColor rgb="FF800000"/>
        <bgColor rgb="FF8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99CCFF"/>
        <bgColor rgb="FF99CCFF"/>
      </patternFill>
    </fill>
  </fills>
  <borders count="188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FFFFCC"/>
      </right>
      <top/>
      <bottom/>
    </border>
    <border>
      <left style="thin">
        <color rgb="FFFFFFCC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FFFFCC"/>
      </right>
      <top/>
      <bottom style="medium">
        <color rgb="FF000000"/>
      </bottom>
    </border>
    <border>
      <left style="thin">
        <color rgb="FFFFFFCC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FFFFCC"/>
      </right>
      <top style="thin">
        <color rgb="FF000000"/>
      </top>
      <bottom/>
    </border>
    <border>
      <left style="thin">
        <color rgb="FFFFFFCC"/>
      </left>
      <top style="thin">
        <color rgb="FF000000"/>
      </top>
      <bottom/>
    </border>
    <border>
      <right style="thin">
        <color rgb="FFFFFFCC"/>
      </right>
      <top/>
      <bottom style="thin">
        <color rgb="FF000000"/>
      </bottom>
    </border>
    <border>
      <left style="thin">
        <color rgb="FFFFFFCC"/>
      </left>
      <top/>
      <bottom style="thin">
        <color rgb="FF000000"/>
      </bottom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 style="thin">
        <color rgb="FFFFFFCC"/>
      </bottom>
    </border>
    <border>
      <top/>
      <bottom style="thin">
        <color rgb="FFFFFFCC"/>
      </bottom>
    </border>
    <border>
      <right/>
      <top/>
      <bottom style="thin">
        <color rgb="FFFFFFCC"/>
      </bottom>
    </border>
    <border>
      <right/>
      <top/>
      <bottom/>
    </border>
    <border>
      <lef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FFFFCC"/>
      </top>
      <bottom style="thin">
        <color rgb="FF000000"/>
      </bottom>
    </border>
    <border>
      <top style="thin">
        <color rgb="FFFFFFCC"/>
      </top>
      <bottom style="thin">
        <color rgb="FF000000"/>
      </bottom>
    </border>
    <border>
      <right style="thin">
        <color rgb="FFFFFFCC"/>
      </right>
      <top style="thin">
        <color rgb="FFFFFFCC"/>
      </top>
      <bottom style="thin">
        <color rgb="FF000000"/>
      </bottom>
    </border>
    <border>
      <left style="thin">
        <color rgb="FFFFFFCC"/>
      </left>
      <top style="thin">
        <color rgb="FFFFFFCC"/>
      </top>
      <bottom style="thin">
        <color rgb="FF000000"/>
      </bottom>
    </border>
    <border>
      <right/>
      <top style="thin">
        <color rgb="FFFFFFCC"/>
      </top>
      <bottom style="thin">
        <color rgb="FF000000"/>
      </bottom>
    </border>
    <border>
      <left/>
      <bottom/>
    </border>
    <border>
      <bottom/>
    </border>
    <border>
      <right style="thin">
        <color rgb="FF000000"/>
      </right>
      <bottom/>
    </border>
    <border>
      <top style="medium">
        <color rgb="FF000000"/>
      </top>
      <bottom style="medium">
        <color rgb="FF000000"/>
      </bottom>
    </border>
    <border>
      <left style="thin">
        <color rgb="FFDDD9C3"/>
      </left>
      <top style="thin">
        <color rgb="FFDDD9C3"/>
      </top>
      <bottom/>
    </border>
    <border>
      <top style="thin">
        <color rgb="FFDDD9C3"/>
      </top>
      <bottom/>
    </border>
    <border>
      <right style="thin">
        <color rgb="FFDDD9C3"/>
      </right>
      <top style="thin">
        <color rgb="FFDDD9C3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FFFFCC"/>
      </right>
      <top style="medium">
        <color rgb="FF000000"/>
      </top>
      <bottom/>
    </border>
    <border>
      <left style="thin">
        <color rgb="FFFFFFCC"/>
      </left>
      <top style="medium">
        <color rgb="FF000000"/>
      </top>
      <bottom/>
    </border>
    <border>
      <left style="thin">
        <color rgb="FFFFFFCC"/>
      </left>
      <right/>
      <top style="medium">
        <color rgb="FF000000"/>
      </top>
    </border>
    <border>
      <left style="thin">
        <color rgb="FFFFFFCC"/>
      </left>
      <right style="thin">
        <color rgb="FFDDD9C3"/>
      </right>
      <top style="medium">
        <color rgb="FF000000"/>
      </top>
      <bottom style="thin">
        <color rgb="FFDDD9C3"/>
      </bottom>
    </border>
    <border>
      <left style="thin">
        <color rgb="FFDDD9C3"/>
      </left>
      <right style="thin">
        <color rgb="FFDDD9C3"/>
      </right>
      <top style="medium">
        <color rgb="FF000000"/>
      </top>
      <bottom style="thin">
        <color rgb="FFDDD9C3"/>
      </bottom>
    </border>
    <border>
      <left/>
      <right style="thin">
        <color rgb="FFFFFFCC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right style="thin">
        <color rgb="FFFFFFCC"/>
      </right>
      <top/>
    </border>
    <border>
      <left style="thin">
        <color rgb="FFFFFFCC"/>
      </left>
      <right/>
    </border>
    <border>
      <left style="thin">
        <color rgb="FFDDD9C3"/>
      </left>
      <right style="thin">
        <color rgb="FFDDD9C3"/>
      </right>
      <top style="thin">
        <color rgb="FFDDD9C3"/>
      </top>
    </border>
    <border>
      <left style="thin">
        <color rgb="FFDDD9C3"/>
      </left>
      <right style="thin">
        <color rgb="FFFFFFCC"/>
      </right>
      <top style="thin">
        <color rgb="FFDDD9C3"/>
      </top>
    </border>
    <border>
      <right style="medium">
        <color rgb="FF000000"/>
      </right>
      <top/>
    </border>
    <border>
      <left style="medium">
        <color rgb="FF000000"/>
      </left>
      <right style="thin">
        <color rgb="FF000000"/>
      </right>
    </border>
    <border>
      <right style="thin">
        <color rgb="FFFFFFCC"/>
      </right>
    </border>
    <border>
      <left style="thin">
        <color rgb="FFFFFFCC"/>
      </left>
      <right style="thin">
        <color rgb="FFFFFFCC"/>
      </right>
      <top style="thin">
        <color rgb="FFFFFFCC"/>
      </top>
    </border>
    <border>
      <left style="thin">
        <color rgb="FFDDD9C3"/>
      </left>
      <right style="thin">
        <color rgb="FFDDD9C3"/>
      </right>
    </border>
    <border>
      <left style="thin">
        <color rgb="FFDDD9C3"/>
      </left>
      <right style="thin">
        <color rgb="FFFFFFCC"/>
      </right>
    </border>
    <border>
      <left style="thin">
        <color rgb="FFFFFFCC"/>
      </left>
      <top style="thin">
        <color rgb="FFFFFFCC"/>
      </top>
    </border>
    <border>
      <right style="thin">
        <color rgb="FFFFFFCC"/>
      </right>
      <top style="thin">
        <color rgb="FFFFFFCC"/>
      </top>
    </border>
    <border>
      <left style="thin">
        <color rgb="FFFFFFCC"/>
      </left>
      <top style="thin">
        <color rgb="FFFFFFCC"/>
      </top>
      <bottom/>
    </border>
    <border>
      <top style="thin">
        <color rgb="FFFFFFCC"/>
      </top>
      <bottom/>
    </border>
    <border>
      <right style="thin">
        <color rgb="FFFFFFCC"/>
      </right>
      <top style="thin">
        <color rgb="FFFFFFCC"/>
      </top>
      <bottom/>
    </border>
    <border>
      <left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DDD9C3"/>
      </bottom>
    </border>
    <border>
      <left style="thin">
        <color rgb="FF000000"/>
      </left>
      <bottom style="thin">
        <color rgb="FFDDD9C3"/>
      </bottom>
    </border>
    <border>
      <bottom style="thin">
        <color rgb="FFDDD9C3"/>
      </bottom>
    </border>
    <border>
      <right style="thin">
        <color rgb="FFFFFFCC"/>
      </right>
      <bottom style="thin">
        <color rgb="FFDDD9C3"/>
      </bottom>
    </border>
    <border>
      <left style="thin">
        <color rgb="FFFFFFCC"/>
      </left>
      <right style="thin">
        <color rgb="FFFFFFCC"/>
      </right>
      <bottom style="thin">
        <color rgb="FFDDD9C3"/>
      </bottom>
    </border>
    <border>
      <left style="thin">
        <color rgb="FFFFFFCC"/>
      </left>
      <right/>
      <bottom style="thin">
        <color rgb="FFDDD9C3"/>
      </bottom>
    </border>
    <border>
      <left style="thin">
        <color rgb="FFDDD9C3"/>
      </left>
      <right style="thin">
        <color rgb="FFDDD9C3"/>
      </right>
      <bottom style="thin">
        <color rgb="FFDDD9C3"/>
      </bottom>
    </border>
    <border>
      <left style="thin">
        <color rgb="FFDDD9C3"/>
      </left>
      <right style="thin">
        <color rgb="FFFFFFCC"/>
      </right>
      <bottom style="thin">
        <color rgb="FFDDD9C3"/>
      </bottom>
    </border>
    <border>
      <left style="thin">
        <color rgb="FFFFFFCC"/>
      </left>
      <bottom style="thin">
        <color rgb="FFDDD9C3"/>
      </bottom>
    </border>
    <border>
      <left/>
      <right style="thin">
        <color rgb="FFFFFFCC"/>
      </right>
      <top/>
      <bottom style="thin">
        <color rgb="FFDDD9C3"/>
      </bottom>
    </border>
    <border>
      <left style="thin">
        <color rgb="FFFFFFCC"/>
      </left>
      <right style="thin">
        <color rgb="FFFFFFCC"/>
      </right>
      <top style="thin">
        <color rgb="FFFFFFCC"/>
      </top>
      <bottom style="thin">
        <color rgb="FFDDD9C3"/>
      </bottom>
    </border>
    <border>
      <left/>
      <bottom style="thin">
        <color rgb="FFDDD9C3"/>
      </bottom>
    </border>
    <border>
      <right style="medium">
        <color rgb="FF000000"/>
      </right>
      <bottom style="thin">
        <color rgb="FFDDD9C3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FFFFCC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ck">
        <color rgb="FF333399"/>
      </left>
      <right/>
      <top style="thick">
        <color rgb="FF333399"/>
      </top>
      <bottom/>
    </border>
    <border>
      <left/>
      <right/>
      <top style="thick">
        <color rgb="FF333399"/>
      </top>
      <bottom/>
    </border>
    <border>
      <left/>
      <right style="thick">
        <color rgb="FF333399"/>
      </right>
      <top style="thick">
        <color rgb="FF333399"/>
      </top>
      <bottom/>
    </border>
    <border>
      <left style="thick">
        <color rgb="FF333399"/>
      </left>
      <right/>
      <top/>
      <bottom/>
    </border>
    <border>
      <left/>
      <right style="thick">
        <color rgb="FF333399"/>
      </right>
      <top/>
      <bottom/>
    </border>
    <border>
      <left style="thick">
        <color rgb="FF333399"/>
      </left>
      <right/>
      <top/>
      <bottom style="thick">
        <color rgb="FF333399"/>
      </bottom>
    </border>
    <border>
      <left/>
      <right/>
      <top/>
      <bottom style="thick">
        <color rgb="FF333399"/>
      </bottom>
    </border>
    <border>
      <left/>
      <right style="thick">
        <color rgb="FF333399"/>
      </right>
      <top/>
      <bottom style="thick">
        <color rgb="FF333399"/>
      </bottom>
    </border>
    <border>
      <right/>
      <top/>
    </border>
    <border>
      <right/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double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808080"/>
      </top>
      <bottom style="medium">
        <color rgb="FF808080"/>
      </bottom>
    </border>
    <border>
      <top style="thin">
        <color rgb="FF808080"/>
      </top>
    </border>
  </borders>
  <cellStyleXfs count="1">
    <xf borderId="0" fillId="0" fontId="0" numFmtId="0" applyAlignment="1" applyFont="1"/>
  </cellStyleXfs>
  <cellXfs count="4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horizontal="center" shrinkToFit="0" vertical="top" wrapText="1"/>
    </xf>
    <xf borderId="1" fillId="3" fontId="1" numFmtId="0" xfId="0" applyBorder="1" applyFill="1" applyFont="1"/>
    <xf borderId="1" fillId="2" fontId="1" numFmtId="16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3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6" fillId="4" fontId="7" numFmtId="14" xfId="0" applyAlignment="1" applyBorder="1" applyFill="1" applyFont="1" applyNumberFormat="1">
      <alignment horizontal="center" vertical="center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" fillId="2" fontId="8" numFmtId="0" xfId="0" applyAlignment="1" applyBorder="1" applyFont="1">
      <alignment horizontal="left"/>
    </xf>
    <xf borderId="14" fillId="0" fontId="6" numFmtId="0" xfId="0" applyBorder="1" applyFont="1"/>
    <xf borderId="2" fillId="0" fontId="7" numFmtId="0" xfId="0" applyAlignment="1" applyBorder="1" applyFont="1">
      <alignment horizontal="center" vertical="center"/>
    </xf>
    <xf borderId="15" fillId="4" fontId="7" numFmtId="14" xfId="0" applyAlignment="1" applyBorder="1" applyFont="1" applyNumberFormat="1">
      <alignment horizontal="center" vertical="center"/>
    </xf>
    <xf borderId="16" fillId="0" fontId="6" numFmtId="0" xfId="0" applyBorder="1" applyFont="1"/>
    <xf quotePrefix="1" borderId="17" fillId="5" fontId="9" numFmtId="0" xfId="0" applyAlignment="1" applyBorder="1" applyFill="1" applyFont="1">
      <alignment horizontal="center"/>
    </xf>
    <xf borderId="18" fillId="0" fontId="6" numFmtId="0" xfId="0" applyBorder="1" applyFont="1"/>
    <xf borderId="19" fillId="0" fontId="6" numFmtId="0" xfId="0" applyBorder="1" applyFont="1"/>
    <xf borderId="2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3" fillId="0" fontId="7" numFmtId="165" xfId="0" applyAlignment="1" applyBorder="1" applyFont="1" applyNumberFormat="1">
      <alignment horizontal="center" shrinkToFit="0" vertical="center" wrapText="1"/>
    </xf>
    <xf borderId="20" fillId="6" fontId="10" numFmtId="0" xfId="0" applyAlignment="1" applyBorder="1" applyFill="1" applyFont="1">
      <alignment horizontal="center"/>
    </xf>
    <xf borderId="21" fillId="0" fontId="6" numFmtId="0" xfId="0" applyBorder="1" applyFont="1"/>
    <xf borderId="22" fillId="3" fontId="7" numFmtId="0" xfId="0" applyAlignment="1" applyBorder="1" applyFont="1">
      <alignment vertical="center"/>
    </xf>
    <xf borderId="0" fillId="0" fontId="11" numFmtId="0" xfId="0" applyFont="1"/>
    <xf borderId="1" fillId="2" fontId="11" numFmtId="0" xfId="0" applyBorder="1" applyFont="1"/>
    <xf borderId="0" fillId="0" fontId="1" numFmtId="0" xfId="0" applyAlignment="1" applyFont="1">
      <alignment horizontal="center" vertical="center"/>
    </xf>
    <xf borderId="3" fillId="0" fontId="12" numFmtId="0" xfId="0" applyAlignment="1" applyBorder="1" applyFont="1">
      <alignment horizontal="center"/>
    </xf>
    <xf borderId="0" fillId="0" fontId="13" numFmtId="0" xfId="0" applyAlignment="1" applyFont="1">
      <alignment horizontal="right" vertical="center"/>
    </xf>
    <xf borderId="17" fillId="3" fontId="14" numFmtId="0" xfId="0" applyAlignment="1" applyBorder="1" applyFont="1">
      <alignment horizontal="center" shrinkToFit="0" vertical="center" wrapText="1"/>
    </xf>
    <xf borderId="1" fillId="4" fontId="5" numFmtId="0" xfId="0" applyBorder="1" applyFont="1"/>
    <xf borderId="0" fillId="0" fontId="2" numFmtId="0" xfId="0" applyAlignment="1" applyFont="1">
      <alignment horizontal="center"/>
    </xf>
    <xf borderId="17" fillId="3" fontId="11" numFmtId="166" xfId="0" applyAlignment="1" applyBorder="1" applyFont="1" applyNumberFormat="1">
      <alignment horizontal="center"/>
    </xf>
    <xf borderId="23" fillId="7" fontId="15" numFmtId="0" xfId="0" applyBorder="1" applyFill="1" applyFont="1"/>
    <xf borderId="1" fillId="7" fontId="15" numFmtId="0" xfId="0" applyBorder="1" applyFont="1"/>
    <xf borderId="24" fillId="3" fontId="11" numFmtId="166" xfId="0" applyAlignment="1" applyBorder="1" applyFont="1" applyNumberFormat="1">
      <alignment horizontal="center" shrinkToFit="0" wrapText="1"/>
    </xf>
    <xf borderId="25" fillId="0" fontId="6" numFmtId="0" xfId="0" applyBorder="1" applyFont="1"/>
    <xf borderId="26" fillId="0" fontId="6" numFmtId="0" xfId="0" applyBorder="1" applyFont="1"/>
    <xf borderId="27" fillId="3" fontId="13" numFmtId="0" xfId="0" applyAlignment="1" applyBorder="1" applyFont="1">
      <alignment vertical="center"/>
    </xf>
    <xf borderId="28" fillId="3" fontId="13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6" numFmtId="0" xfId="0" applyBorder="1" applyFont="1"/>
    <xf borderId="29" fillId="0" fontId="17" numFmtId="0" xfId="0" applyAlignment="1" applyBorder="1" applyFont="1">
      <alignment horizontal="center"/>
    </xf>
    <xf borderId="30" fillId="2" fontId="18" numFmtId="0" xfId="0" applyAlignment="1" applyBorder="1" applyFont="1">
      <alignment horizontal="center" shrinkToFit="0" vertical="center" wrapText="1"/>
    </xf>
    <xf borderId="31" fillId="0" fontId="6" numFmtId="0" xfId="0" applyBorder="1" applyFont="1"/>
    <xf borderId="32" fillId="0" fontId="19" numFmtId="3" xfId="0" applyAlignment="1" applyBorder="1" applyFont="1" applyNumberFormat="1">
      <alignment horizontal="center" shrinkToFit="0" wrapText="1"/>
    </xf>
    <xf borderId="33" fillId="0" fontId="19" numFmtId="3" xfId="0" applyAlignment="1" applyBorder="1" applyFont="1" applyNumberFormat="1">
      <alignment horizontal="center" shrinkToFit="0" wrapText="1"/>
    </xf>
    <xf borderId="34" fillId="8" fontId="20" numFmtId="0" xfId="0" applyAlignment="1" applyBorder="1" applyFill="1" applyFont="1">
      <alignment horizontal="center" vertical="center"/>
    </xf>
    <xf borderId="35" fillId="0" fontId="6" numFmtId="0" xfId="0" applyBorder="1" applyFont="1"/>
    <xf borderId="36" fillId="0" fontId="6" numFmtId="0" xfId="0" applyBorder="1" applyFont="1"/>
    <xf borderId="37" fillId="8" fontId="20" numFmtId="0" xfId="0" applyAlignment="1" applyBorder="1" applyFont="1">
      <alignment horizontal="center" vertical="center"/>
    </xf>
    <xf borderId="38" fillId="0" fontId="6" numFmtId="0" xfId="0" applyBorder="1" applyFont="1"/>
    <xf borderId="1" fillId="2" fontId="1" numFmtId="22" xfId="0" applyBorder="1" applyFont="1" applyNumberFormat="1"/>
    <xf borderId="39" fillId="0" fontId="17" numFmtId="0" xfId="0" applyAlignment="1" applyBorder="1" applyFont="1">
      <alignment horizontal="center"/>
    </xf>
    <xf borderId="40" fillId="0" fontId="19" numFmtId="3" xfId="0" applyAlignment="1" applyBorder="1" applyFont="1" applyNumberFormat="1">
      <alignment horizontal="center" shrinkToFit="0" wrapText="1"/>
    </xf>
    <xf borderId="41" fillId="0" fontId="19" numFmtId="3" xfId="0" applyAlignment="1" applyBorder="1" applyFont="1" applyNumberFormat="1">
      <alignment horizontal="center" shrinkToFit="0" wrapText="1"/>
    </xf>
    <xf borderId="42" fillId="8" fontId="20" numFmtId="0" xfId="0" applyAlignment="1" applyBorder="1" applyFont="1">
      <alignment horizontal="center" vertical="center"/>
    </xf>
    <xf borderId="43" fillId="0" fontId="6" numFmtId="0" xfId="0" applyBorder="1" applyFont="1"/>
    <xf borderId="44" fillId="0" fontId="6" numFmtId="0" xfId="0" applyBorder="1" applyFont="1"/>
    <xf borderId="45" fillId="8" fontId="20" numFmtId="0" xfId="0" applyAlignment="1" applyBorder="1" applyFont="1">
      <alignment horizontal="center" vertical="center"/>
    </xf>
    <xf borderId="45" fillId="8" fontId="20" numFmtId="0" xfId="0" applyAlignment="1" applyBorder="1" applyFont="1">
      <alignment horizontal="center" shrinkToFit="0" vertical="center" wrapText="1"/>
    </xf>
    <xf borderId="46" fillId="0" fontId="6" numFmtId="0" xfId="0" applyBorder="1" applyFont="1"/>
    <xf borderId="47" fillId="3" fontId="21" numFmtId="0" xfId="0" applyAlignment="1" applyBorder="1" applyFont="1">
      <alignment horizontal="center" shrinkToFit="0" vertical="center" wrapText="1"/>
    </xf>
    <xf borderId="48" fillId="0" fontId="6" numFmtId="0" xfId="0" applyBorder="1" applyFont="1"/>
    <xf borderId="0" fillId="0" fontId="1" numFmtId="164" xfId="0" applyFont="1" applyNumberFormat="1"/>
    <xf borderId="0" fillId="0" fontId="1" numFmtId="0" xfId="0" applyAlignment="1" applyFont="1">
      <alignment shrinkToFit="0" vertical="top" wrapText="1"/>
    </xf>
    <xf borderId="0" fillId="0" fontId="12" numFmtId="0" xfId="0" applyAlignment="1" applyFont="1">
      <alignment horizontal="center" shrinkToFit="0" vertical="top" wrapText="1"/>
    </xf>
    <xf borderId="49" fillId="2" fontId="18" numFmtId="0" xfId="0" applyAlignment="1" applyBorder="1" applyFont="1">
      <alignment horizontal="center" shrinkToFit="0" vertical="center" wrapText="1"/>
    </xf>
    <xf borderId="50" fillId="0" fontId="6" numFmtId="0" xfId="0" applyBorder="1" applyFont="1"/>
    <xf borderId="49" fillId="8" fontId="20" numFmtId="0" xfId="0" applyAlignment="1" applyBorder="1" applyFont="1">
      <alignment horizontal="center" vertical="center"/>
    </xf>
    <xf borderId="51" fillId="0" fontId="6" numFmtId="0" xfId="0" applyBorder="1" applyFont="1"/>
    <xf borderId="52" fillId="8" fontId="20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7" fillId="8" fontId="20" numFmtId="0" xfId="0" applyAlignment="1" applyBorder="1" applyFont="1">
      <alignment horizontal="center" shrinkToFit="0" vertical="center" wrapText="1"/>
    </xf>
    <xf borderId="53" fillId="0" fontId="6" numFmtId="0" xfId="0" applyBorder="1" applyFont="1"/>
    <xf borderId="54" fillId="8" fontId="20" numFmtId="0" xfId="0" applyAlignment="1" applyBorder="1" applyFont="1">
      <alignment horizontal="center" shrinkToFit="0" vertical="center" wrapText="1"/>
    </xf>
    <xf borderId="47" fillId="3" fontId="11" numFmtId="0" xfId="0" applyAlignment="1" applyBorder="1" applyFont="1">
      <alignment horizontal="center" shrinkToFit="0" vertical="center" wrapText="1"/>
    </xf>
    <xf borderId="30" fillId="3" fontId="21" numFmtId="0" xfId="0" applyAlignment="1" applyBorder="1" applyFont="1">
      <alignment horizontal="center" shrinkToFit="0" vertical="center" wrapText="1"/>
    </xf>
    <xf borderId="1" fillId="3" fontId="11" numFmtId="0" xfId="0" applyBorder="1" applyFont="1"/>
    <xf borderId="1" fillId="2" fontId="11" numFmtId="2" xfId="0" applyBorder="1" applyFont="1" applyNumberFormat="1"/>
    <xf borderId="1" fillId="2" fontId="13" numFmtId="0" xfId="0" applyBorder="1" applyFont="1"/>
    <xf borderId="0" fillId="0" fontId="13" numFmtId="0" xfId="0" applyFont="1"/>
    <xf borderId="49" fillId="8" fontId="22" numFmtId="0" xfId="0" applyAlignment="1" applyBorder="1" applyFont="1">
      <alignment horizontal="center" shrinkToFit="0" vertical="center" wrapText="1"/>
    </xf>
    <xf borderId="55" fillId="0" fontId="6" numFmtId="0" xfId="0" applyBorder="1" applyFont="1"/>
    <xf borderId="52" fillId="8" fontId="22" numFmtId="0" xfId="0" applyAlignment="1" applyBorder="1" applyFont="1">
      <alignment horizontal="center" shrinkToFit="0" vertical="center" wrapText="1"/>
    </xf>
    <xf borderId="56" fillId="8" fontId="22" numFmtId="0" xfId="0" applyAlignment="1" applyBorder="1" applyFont="1">
      <alignment horizontal="center" shrinkToFit="0" vertical="center" wrapText="1"/>
    </xf>
    <xf borderId="15" fillId="8" fontId="22" numFmtId="0" xfId="0" applyAlignment="1" applyBorder="1" applyFont="1">
      <alignment horizontal="center" shrinkToFit="0" vertical="center" wrapText="1"/>
    </xf>
    <xf borderId="1" fillId="3" fontId="13" numFmtId="0" xfId="0" applyBorder="1" applyFont="1"/>
    <xf borderId="57" fillId="8" fontId="22" numFmtId="0" xfId="0" applyAlignment="1" applyBorder="1" applyFont="1">
      <alignment horizontal="center" vertical="center"/>
    </xf>
    <xf borderId="58" fillId="0" fontId="6" numFmtId="0" xfId="0" applyBorder="1" applyFont="1"/>
    <xf borderId="59" fillId="0" fontId="6" numFmtId="0" xfId="0" applyBorder="1" applyFont="1"/>
    <xf borderId="37" fillId="8" fontId="22" numFmtId="0" xfId="0" applyAlignment="1" applyBorder="1" applyFont="1">
      <alignment horizontal="center" shrinkToFit="0" vertical="center" wrapText="1"/>
    </xf>
    <xf borderId="60" fillId="0" fontId="6" numFmtId="0" xfId="0" applyBorder="1" applyFont="1"/>
    <xf borderId="1" fillId="8" fontId="22" numFmtId="0" xfId="0" applyAlignment="1" applyBorder="1" applyFont="1">
      <alignment horizontal="center" shrinkToFit="0" vertical="center" wrapText="1"/>
    </xf>
    <xf borderId="61" fillId="8" fontId="22" numFmtId="0" xfId="0" applyAlignment="1" applyBorder="1" applyFont="1">
      <alignment horizontal="center" shrinkToFit="0" vertical="center" wrapText="1"/>
    </xf>
    <xf borderId="62" fillId="8" fontId="22" numFmtId="0" xfId="0" applyAlignment="1" applyBorder="1" applyFont="1">
      <alignment horizontal="center" vertical="center"/>
    </xf>
    <xf borderId="63" fillId="0" fontId="6" numFmtId="0" xfId="0" applyBorder="1" applyFont="1"/>
    <xf borderId="64" fillId="0" fontId="6" numFmtId="0" xfId="0" applyBorder="1" applyFont="1"/>
    <xf borderId="65" fillId="8" fontId="22" numFmtId="0" xfId="0" applyAlignment="1" applyBorder="1" applyFont="1">
      <alignment horizontal="center" vertical="center"/>
    </xf>
    <xf borderId="66" fillId="0" fontId="6" numFmtId="0" xfId="0" applyBorder="1" applyFont="1"/>
    <xf borderId="67" fillId="0" fontId="6" numFmtId="0" xfId="0" applyBorder="1" applyFont="1"/>
    <xf borderId="68" fillId="8" fontId="22" numFmtId="0" xfId="0" applyAlignment="1" applyBorder="1" applyFont="1">
      <alignment horizontal="center" vertical="center"/>
    </xf>
    <xf borderId="69" fillId="0" fontId="6" numFmtId="0" xfId="0" applyBorder="1" applyFont="1"/>
    <xf borderId="54" fillId="8" fontId="22" numFmtId="0" xfId="0" applyAlignment="1" applyBorder="1" applyFont="1">
      <alignment horizontal="center" shrinkToFit="0" vertical="center" wrapText="1"/>
    </xf>
    <xf borderId="17" fillId="8" fontId="22" numFmtId="0" xfId="0" applyAlignment="1" applyBorder="1" applyFont="1">
      <alignment horizontal="center" shrinkToFit="0" vertical="center" wrapText="1"/>
    </xf>
    <xf borderId="70" fillId="0" fontId="6" numFmtId="0" xfId="0" applyBorder="1" applyFont="1"/>
    <xf borderId="71" fillId="0" fontId="6" numFmtId="0" xfId="0" applyBorder="1" applyFont="1"/>
    <xf borderId="72" fillId="0" fontId="6" numFmtId="0" xfId="0" applyBorder="1" applyFont="1"/>
    <xf borderId="30" fillId="3" fontId="13" numFmtId="49" xfId="0" applyAlignment="1" applyBorder="1" applyFont="1" applyNumberFormat="1">
      <alignment horizontal="center" vertical="center"/>
    </xf>
    <xf borderId="30" fillId="3" fontId="13" numFmtId="3" xfId="0" applyAlignment="1" applyBorder="1" applyFont="1" applyNumberFormat="1">
      <alignment horizontal="center" shrinkToFit="0" vertical="center" wrapText="1"/>
    </xf>
    <xf borderId="30" fillId="3" fontId="13" numFmtId="1" xfId="0" applyAlignment="1" applyBorder="1" applyFont="1" applyNumberFormat="1">
      <alignment horizontal="center" shrinkToFit="0" vertical="center" wrapText="1"/>
    </xf>
    <xf borderId="29" fillId="3" fontId="13" numFmtId="167" xfId="0" applyAlignment="1" applyBorder="1" applyFont="1" applyNumberFormat="1">
      <alignment shrinkToFit="0" vertical="center" wrapText="1"/>
    </xf>
    <xf borderId="30" fillId="3" fontId="13" numFmtId="167" xfId="0" applyAlignment="1" applyBorder="1" applyFont="1" applyNumberFormat="1">
      <alignment horizontal="center" shrinkToFit="0" vertical="center" wrapText="1"/>
    </xf>
    <xf borderId="30" fillId="3" fontId="13" numFmtId="168" xfId="0" applyAlignment="1" applyBorder="1" applyFont="1" applyNumberFormat="1">
      <alignment horizontal="center" shrinkToFit="0" vertical="center" wrapText="1"/>
    </xf>
    <xf borderId="30" fillId="0" fontId="13" numFmtId="4" xfId="0" applyAlignment="1" applyBorder="1" applyFont="1" applyNumberFormat="1">
      <alignment vertical="center"/>
    </xf>
    <xf borderId="25" fillId="0" fontId="13" numFmtId="4" xfId="0" applyAlignment="1" applyBorder="1" applyFont="1" applyNumberFormat="1">
      <alignment vertical="center"/>
    </xf>
    <xf borderId="2" fillId="0" fontId="13" numFmtId="168" xfId="0" applyAlignment="1" applyBorder="1" applyFont="1" applyNumberFormat="1">
      <alignment horizontal="center" shrinkToFit="0" vertical="center" wrapText="1"/>
    </xf>
    <xf borderId="30" fillId="0" fontId="13" numFmtId="4" xfId="0" applyAlignment="1" applyBorder="1" applyFont="1" applyNumberFormat="1">
      <alignment horizontal="center" vertical="center"/>
    </xf>
    <xf borderId="30" fillId="0" fontId="13" numFmtId="4" xfId="0" applyAlignment="1" applyBorder="1" applyFont="1" applyNumberFormat="1">
      <alignment horizontal="right"/>
    </xf>
    <xf borderId="30" fillId="0" fontId="13" numFmtId="167" xfId="0" applyAlignment="1" applyBorder="1" applyFont="1" applyNumberFormat="1">
      <alignment horizontal="right"/>
    </xf>
    <xf borderId="73" fillId="0" fontId="13" numFmtId="3" xfId="0" applyAlignment="1" applyBorder="1" applyFont="1" applyNumberFormat="1">
      <alignment horizontal="right" shrinkToFit="0" vertical="center" wrapText="1"/>
    </xf>
    <xf borderId="73" fillId="0" fontId="6" numFmtId="0" xfId="0" applyBorder="1" applyFont="1"/>
    <xf borderId="33" fillId="0" fontId="6" numFmtId="0" xfId="0" applyBorder="1" applyFont="1"/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vertical="center"/>
    </xf>
    <xf borderId="0" fillId="0" fontId="13" numFmtId="0" xfId="0" applyAlignment="1" applyFont="1">
      <alignment horizontal="right"/>
    </xf>
    <xf borderId="0" fillId="0" fontId="13" numFmtId="3" xfId="0" applyAlignment="1" applyFont="1" applyNumberFormat="1">
      <alignment horizontal="center" shrinkToFit="0" vertical="center" wrapText="1"/>
    </xf>
    <xf borderId="74" fillId="2" fontId="18" numFmtId="0" xfId="0" applyAlignment="1" applyBorder="1" applyFont="1">
      <alignment horizontal="center" shrinkToFit="0" vertical="center" wrapText="1"/>
    </xf>
    <xf borderId="75" fillId="0" fontId="6" numFmtId="0" xfId="0" applyBorder="1" applyFont="1"/>
    <xf borderId="76" fillId="0" fontId="6" numFmtId="0" xfId="0" applyBorder="1" applyFont="1"/>
    <xf borderId="1" fillId="2" fontId="12" numFmtId="0" xfId="0" applyBorder="1" applyFont="1"/>
    <xf borderId="0" fillId="0" fontId="12" numFmtId="0" xfId="0" applyFont="1"/>
    <xf borderId="77" fillId="8" fontId="20" numFmtId="0" xfId="0" applyAlignment="1" applyBorder="1" applyFont="1">
      <alignment horizontal="center"/>
    </xf>
    <xf borderId="78" fillId="8" fontId="20" numFmtId="0" xfId="0" applyAlignment="1" applyBorder="1" applyFont="1">
      <alignment horizontal="center" vertical="center"/>
    </xf>
    <xf borderId="79" fillId="0" fontId="6" numFmtId="0" xfId="0" applyBorder="1" applyFont="1"/>
    <xf borderId="80" fillId="0" fontId="6" numFmtId="0" xfId="0" applyBorder="1" applyFont="1"/>
    <xf borderId="81" fillId="8" fontId="20" numFmtId="0" xfId="0" applyAlignment="1" applyBorder="1" applyFont="1">
      <alignment horizontal="center" vertical="center"/>
    </xf>
    <xf borderId="82" fillId="8" fontId="23" numFmtId="0" xfId="0" applyAlignment="1" applyBorder="1" applyFont="1">
      <alignment horizontal="center" shrinkToFit="0" textRotation="90" wrapText="1"/>
    </xf>
    <xf borderId="83" fillId="8" fontId="20" numFmtId="0" xfId="0" applyAlignment="1" applyBorder="1" applyFont="1">
      <alignment shrinkToFit="0" wrapText="1"/>
    </xf>
    <xf borderId="84" fillId="8" fontId="20" numFmtId="0" xfId="0" applyAlignment="1" applyBorder="1" applyFont="1">
      <alignment horizontal="center" shrinkToFit="0" vertical="center" wrapText="1"/>
    </xf>
    <xf borderId="85" fillId="8" fontId="20" numFmtId="0" xfId="0" applyAlignment="1" applyBorder="1" applyFont="1">
      <alignment horizontal="center" shrinkToFit="0" vertical="center" wrapText="1"/>
    </xf>
    <xf borderId="86" fillId="0" fontId="6" numFmtId="0" xfId="0" applyBorder="1" applyFont="1"/>
    <xf borderId="87" fillId="8" fontId="24" numFmtId="0" xfId="0" applyAlignment="1" applyBorder="1" applyFont="1">
      <alignment horizontal="center" shrinkToFit="0" vertical="center" wrapText="1"/>
    </xf>
    <xf borderId="88" fillId="8" fontId="20" numFmtId="0" xfId="0" applyAlignment="1" applyBorder="1" applyFont="1">
      <alignment horizontal="center" shrinkToFit="0" vertical="center" wrapText="1"/>
    </xf>
    <xf borderId="89" fillId="0" fontId="6" numFmtId="0" xfId="0" applyBorder="1" applyFont="1"/>
    <xf borderId="90" fillId="0" fontId="6" numFmtId="0" xfId="0" applyBorder="1" applyFont="1"/>
    <xf borderId="91" fillId="8" fontId="25" numFmtId="0" xfId="0" applyAlignment="1" applyBorder="1" applyFont="1">
      <alignment horizontal="center" shrinkToFit="0" vertical="center" wrapText="1"/>
    </xf>
    <xf borderId="91" fillId="8" fontId="20" numFmtId="0" xfId="0" applyAlignment="1" applyBorder="1" applyFont="1">
      <alignment horizontal="center" shrinkToFit="0" vertical="center" wrapText="1"/>
    </xf>
    <xf borderId="92" fillId="8" fontId="20" numFmtId="0" xfId="0" applyAlignment="1" applyBorder="1" applyFont="1">
      <alignment horizontal="center" shrinkToFit="0" vertical="center" wrapText="1"/>
    </xf>
    <xf borderId="62" fillId="8" fontId="20" numFmtId="0" xfId="0" applyAlignment="1" applyBorder="1" applyFont="1">
      <alignment horizontal="center" vertical="center"/>
    </xf>
    <xf borderId="93" fillId="0" fontId="6" numFmtId="0" xfId="0" applyBorder="1" applyFont="1"/>
    <xf borderId="94" fillId="0" fontId="6" numFmtId="0" xfId="0" applyBorder="1" applyFont="1"/>
    <xf borderId="95" fillId="0" fontId="6" numFmtId="0" xfId="0" applyBorder="1" applyFont="1"/>
    <xf borderId="96" fillId="8" fontId="26" numFmtId="0" xfId="0" applyAlignment="1" applyBorder="1" applyFont="1">
      <alignment horizontal="center" shrinkToFit="0" vertical="center" wrapText="1"/>
    </xf>
    <xf borderId="97" fillId="0" fontId="6" numFmtId="0" xfId="0" applyBorder="1" applyFont="1"/>
    <xf borderId="98" fillId="0" fontId="6" numFmtId="0" xfId="0" applyBorder="1" applyFont="1"/>
    <xf borderId="99" fillId="8" fontId="20" numFmtId="0" xfId="0" applyAlignment="1" applyBorder="1" applyFont="1">
      <alignment horizontal="center" vertical="center"/>
    </xf>
    <xf borderId="100" fillId="0" fontId="6" numFmtId="0" xfId="0" applyBorder="1" applyFont="1"/>
    <xf borderId="101" fillId="8" fontId="20" numFmtId="0" xfId="0" applyAlignment="1" applyBorder="1" applyFont="1">
      <alignment horizontal="center" vertical="center"/>
    </xf>
    <xf borderId="102" fillId="0" fontId="6" numFmtId="0" xfId="0" applyBorder="1" applyFont="1"/>
    <xf borderId="103" fillId="0" fontId="6" numFmtId="0" xfId="0" applyBorder="1" applyFont="1"/>
    <xf borderId="104" fillId="0" fontId="6" numFmtId="0" xfId="0" applyBorder="1" applyFont="1"/>
    <xf borderId="105" fillId="0" fontId="6" numFmtId="0" xfId="0" applyBorder="1" applyFont="1"/>
    <xf borderId="0" fillId="0" fontId="12" numFmtId="0" xfId="0" applyAlignment="1" applyFont="1">
      <alignment horizontal="center"/>
    </xf>
    <xf borderId="106" fillId="0" fontId="6" numFmtId="0" xfId="0" applyBorder="1" applyFont="1"/>
    <xf borderId="107" fillId="0" fontId="6" numFmtId="0" xfId="0" applyBorder="1" applyFont="1"/>
    <xf borderId="108" fillId="0" fontId="6" numFmtId="0" xfId="0" applyBorder="1" applyFont="1"/>
    <xf borderId="109" fillId="0" fontId="6" numFmtId="0" xfId="0" applyBorder="1" applyFont="1"/>
    <xf borderId="110" fillId="0" fontId="6" numFmtId="0" xfId="0" applyBorder="1" applyFont="1"/>
    <xf borderId="111" fillId="0" fontId="6" numFmtId="0" xfId="0" applyBorder="1" applyFont="1"/>
    <xf borderId="112" fillId="0" fontId="6" numFmtId="0" xfId="0" applyBorder="1" applyFont="1"/>
    <xf borderId="113" fillId="0" fontId="6" numFmtId="0" xfId="0" applyBorder="1" applyFont="1"/>
    <xf borderId="114" fillId="0" fontId="6" numFmtId="0" xfId="0" applyBorder="1" applyFont="1"/>
    <xf borderId="115" fillId="8" fontId="27" numFmtId="0" xfId="0" applyAlignment="1" applyBorder="1" applyFont="1">
      <alignment horizontal="center" shrinkToFit="0" vertical="center" wrapText="1"/>
    </xf>
    <xf borderId="116" fillId="8" fontId="20" numFmtId="0" xfId="0" applyAlignment="1" applyBorder="1" applyFont="1">
      <alignment horizontal="center" readingOrder="0" shrinkToFit="0" vertical="center" wrapText="1"/>
    </xf>
    <xf borderId="116" fillId="8" fontId="20" numFmtId="0" xfId="0" applyAlignment="1" applyBorder="1" applyFont="1">
      <alignment horizontal="center" shrinkToFit="0" vertical="center" wrapText="1"/>
    </xf>
    <xf borderId="116" fillId="8" fontId="20" numFmtId="0" xfId="0" applyAlignment="1" applyBorder="1" applyFont="1">
      <alignment horizontal="center" vertical="center"/>
    </xf>
    <xf borderId="117" fillId="0" fontId="6" numFmtId="0" xfId="0" applyBorder="1" applyFont="1"/>
    <xf borderId="118" fillId="0" fontId="6" numFmtId="0" xfId="0" applyBorder="1" applyFont="1"/>
    <xf borderId="119" fillId="3" fontId="13" numFmtId="168" xfId="0" applyAlignment="1" applyBorder="1" applyFont="1" applyNumberFormat="1">
      <alignment horizontal="center" vertical="center"/>
    </xf>
    <xf borderId="47" fillId="3" fontId="11" numFmtId="0" xfId="0" applyAlignment="1" applyBorder="1" applyFont="1">
      <alignment vertical="center"/>
    </xf>
    <xf borderId="120" fillId="3" fontId="13" numFmtId="1" xfId="0" applyAlignment="1" applyBorder="1" applyFont="1" applyNumberFormat="1">
      <alignment horizontal="center" vertical="center"/>
    </xf>
    <xf borderId="30" fillId="0" fontId="11" numFmtId="3" xfId="0" applyAlignment="1" applyBorder="1" applyFont="1" applyNumberFormat="1">
      <alignment horizontal="center" shrinkToFit="0" vertical="center" wrapText="1"/>
    </xf>
    <xf borderId="30" fillId="0" fontId="1" numFmtId="9" xfId="0" applyAlignment="1" applyBorder="1" applyFont="1" applyNumberFormat="1">
      <alignment horizontal="center" shrinkToFit="0" vertical="center" wrapText="1"/>
    </xf>
    <xf borderId="29" fillId="0" fontId="11" numFmtId="169" xfId="0" applyAlignment="1" applyBorder="1" applyFont="1" applyNumberFormat="1">
      <alignment shrinkToFit="0" vertical="center" wrapText="1"/>
    </xf>
    <xf borderId="31" fillId="0" fontId="11" numFmtId="169" xfId="0" applyAlignment="1" applyBorder="1" applyFont="1" applyNumberFormat="1">
      <alignment shrinkToFit="0" vertical="center" wrapText="1"/>
    </xf>
    <xf borderId="47" fillId="3" fontId="11" numFmtId="168" xfId="0" applyAlignment="1" applyBorder="1" applyFont="1" applyNumberFormat="1">
      <alignment horizontal="center" vertical="center"/>
    </xf>
    <xf borderId="120" fillId="3" fontId="13" numFmtId="1" xfId="0" applyAlignment="1" applyBorder="1" applyFont="1" applyNumberFormat="1">
      <alignment horizontal="center" readingOrder="0" vertical="center"/>
    </xf>
    <xf borderId="120" fillId="3" fontId="11" numFmtId="168" xfId="0" applyAlignment="1" applyBorder="1" applyFont="1" applyNumberFormat="1">
      <alignment horizontal="center" vertical="center"/>
    </xf>
    <xf borderId="120" fillId="3" fontId="11" numFmtId="1" xfId="0" applyAlignment="1" applyBorder="1" applyFont="1" applyNumberFormat="1">
      <alignment horizontal="center" readingOrder="0" vertical="center"/>
    </xf>
    <xf borderId="10" fillId="0" fontId="11" numFmtId="3" xfId="0" applyAlignment="1" applyBorder="1" applyFont="1" applyNumberFormat="1">
      <alignment horizontal="center" shrinkToFit="0" vertical="center" wrapText="1"/>
    </xf>
    <xf borderId="10" fillId="0" fontId="12" numFmtId="3" xfId="0" applyAlignment="1" applyBorder="1" applyFont="1" applyNumberFormat="1">
      <alignment horizontal="center" vertical="center"/>
    </xf>
    <xf borderId="121" fillId="0" fontId="6" numFmtId="0" xfId="0" applyBorder="1" applyFont="1"/>
    <xf borderId="0" fillId="0" fontId="1" numFmtId="170" xfId="0" applyFont="1" applyNumberFormat="1"/>
    <xf borderId="120" fillId="3" fontId="11" numFmtId="1" xfId="0" applyAlignment="1" applyBorder="1" applyFont="1" applyNumberFormat="1">
      <alignment horizontal="center" vertical="center"/>
    </xf>
    <xf borderId="122" fillId="3" fontId="13" numFmtId="168" xfId="0" applyAlignment="1" applyBorder="1" applyFont="1" applyNumberFormat="1">
      <alignment horizontal="center" vertical="center"/>
    </xf>
    <xf borderId="34" fillId="3" fontId="11" numFmtId="0" xfId="0" applyAlignment="1" applyBorder="1" applyFont="1">
      <alignment vertical="center"/>
    </xf>
    <xf borderId="123" fillId="3" fontId="13" numFmtId="1" xfId="0" applyAlignment="1" applyBorder="1" applyFont="1" applyNumberFormat="1">
      <alignment horizontal="center" vertical="center"/>
    </xf>
    <xf borderId="2" fillId="0" fontId="11" numFmtId="3" xfId="0" applyAlignment="1" applyBorder="1" applyFont="1" applyNumberFormat="1">
      <alignment horizontal="center" shrinkToFit="0" vertical="center" wrapText="1"/>
    </xf>
    <xf borderId="2" fillId="0" fontId="1" numFmtId="9" xfId="0" applyAlignment="1" applyBorder="1" applyFont="1" applyNumberFormat="1">
      <alignment horizontal="center" shrinkToFit="0" vertical="center" wrapText="1"/>
    </xf>
    <xf borderId="124" fillId="0" fontId="11" numFmtId="169" xfId="0" applyAlignment="1" applyBorder="1" applyFont="1" applyNumberFormat="1">
      <alignment shrinkToFit="0" vertical="center" wrapText="1"/>
    </xf>
    <xf borderId="4" fillId="0" fontId="11" numFmtId="169" xfId="0" applyAlignment="1" applyBorder="1" applyFont="1" applyNumberFormat="1">
      <alignment shrinkToFit="0" vertical="center" wrapText="1"/>
    </xf>
    <xf borderId="34" fillId="3" fontId="11" numFmtId="168" xfId="0" applyAlignment="1" applyBorder="1" applyFont="1" applyNumberFormat="1">
      <alignment horizontal="center" vertical="center"/>
    </xf>
    <xf borderId="123" fillId="3" fontId="11" numFmtId="1" xfId="0" applyAlignment="1" applyBorder="1" applyFont="1" applyNumberFormat="1">
      <alignment horizontal="center" vertical="center"/>
    </xf>
    <xf borderId="7" fillId="0" fontId="11" numFmtId="3" xfId="0" applyAlignment="1" applyBorder="1" applyFont="1" applyNumberFormat="1">
      <alignment horizontal="center" shrinkToFit="0" vertical="center" wrapText="1"/>
    </xf>
    <xf borderId="7" fillId="0" fontId="12" numFmtId="3" xfId="0" applyAlignment="1" applyBorder="1" applyFont="1" applyNumberFormat="1">
      <alignment horizontal="center" vertical="center"/>
    </xf>
    <xf borderId="125" fillId="3" fontId="12" numFmtId="1" xfId="0" applyAlignment="1" applyBorder="1" applyFont="1" applyNumberFormat="1">
      <alignment horizontal="center" shrinkToFit="0" vertical="center" wrapText="1"/>
    </xf>
    <xf borderId="126" fillId="3" fontId="11" numFmtId="0" xfId="0" applyAlignment="1" applyBorder="1" applyFont="1">
      <alignment horizontal="center" shrinkToFit="0" vertical="center" wrapText="1"/>
    </xf>
    <xf borderId="127" fillId="0" fontId="6" numFmtId="0" xfId="0" applyBorder="1" applyFont="1"/>
    <xf borderId="128" fillId="0" fontId="6" numFmtId="0" xfId="0" applyBorder="1" applyFont="1"/>
    <xf borderId="129" fillId="3" fontId="11" numFmtId="0" xfId="0" applyAlignment="1" applyBorder="1" applyFont="1">
      <alignment shrinkToFit="0" vertical="center" wrapText="1"/>
    </xf>
    <xf borderId="126" fillId="0" fontId="11" numFmtId="3" xfId="0" applyAlignment="1" applyBorder="1" applyFont="1" applyNumberFormat="1">
      <alignment horizontal="center" shrinkToFit="0" vertical="center" wrapText="1"/>
    </xf>
    <xf borderId="130" fillId="3" fontId="13" numFmtId="1" xfId="0" applyAlignment="1" applyBorder="1" applyFont="1" applyNumberFormat="1">
      <alignment horizontal="center" vertical="center"/>
    </xf>
    <xf borderId="130" fillId="3" fontId="11" numFmtId="3" xfId="0" applyAlignment="1" applyBorder="1" applyFont="1" applyNumberFormat="1">
      <alignment horizontal="center" shrinkToFit="0" vertical="center" wrapText="1"/>
    </xf>
    <xf borderId="129" fillId="3" fontId="11" numFmtId="3" xfId="0" applyAlignment="1" applyBorder="1" applyFont="1" applyNumberFormat="1">
      <alignment horizontal="center" shrinkToFit="0" vertical="center" wrapText="1"/>
    </xf>
    <xf borderId="131" fillId="3" fontId="11" numFmtId="3" xfId="0" applyAlignment="1" applyBorder="1" applyFont="1" applyNumberFormat="1">
      <alignment horizontal="center" shrinkToFit="0" vertical="center" wrapText="1"/>
    </xf>
    <xf borderId="126" fillId="3" fontId="11" numFmtId="3" xfId="0" applyAlignment="1" applyBorder="1" applyFont="1" applyNumberFormat="1">
      <alignment horizontal="center" shrinkToFit="0" vertical="center" wrapText="1"/>
    </xf>
    <xf borderId="129" fillId="3" fontId="11" numFmtId="168" xfId="0" applyAlignment="1" applyBorder="1" applyFont="1" applyNumberFormat="1">
      <alignment horizontal="center" vertical="center"/>
    </xf>
    <xf borderId="129" fillId="3" fontId="11" numFmtId="1" xfId="0" applyAlignment="1" applyBorder="1" applyFont="1" applyNumberFormat="1">
      <alignment horizontal="center" vertical="center"/>
    </xf>
    <xf borderId="126" fillId="3" fontId="11" numFmtId="168" xfId="0" applyAlignment="1" applyBorder="1" applyFont="1" applyNumberFormat="1">
      <alignment horizontal="center" vertical="center"/>
    </xf>
    <xf borderId="126" fillId="0" fontId="12" numFmtId="3" xfId="0" applyAlignment="1" applyBorder="1" applyFont="1" applyNumberFormat="1">
      <alignment horizontal="center" vertical="center"/>
    </xf>
    <xf borderId="132" fillId="0" fontId="6" numFmtId="0" xfId="0" applyBorder="1" applyFont="1"/>
    <xf borderId="30" fillId="3" fontId="11" numFmtId="0" xfId="0" applyAlignment="1" applyBorder="1" applyFont="1">
      <alignment horizontal="center" shrinkToFit="0" vertical="center" wrapText="1"/>
    </xf>
    <xf borderId="29" fillId="3" fontId="11" numFmtId="0" xfId="0" applyAlignment="1" applyBorder="1" applyFont="1">
      <alignment shrinkToFit="0" vertical="center" wrapText="1"/>
    </xf>
    <xf borderId="27" fillId="3" fontId="13" numFmtId="1" xfId="0" applyAlignment="1" applyBorder="1" applyFont="1" applyNumberFormat="1">
      <alignment horizontal="center" vertical="center"/>
    </xf>
    <xf borderId="27" fillId="3" fontId="11" numFmtId="3" xfId="0" applyAlignment="1" applyBorder="1" applyFont="1" applyNumberFormat="1">
      <alignment horizontal="center" shrinkToFit="0" vertical="center" wrapText="1"/>
    </xf>
    <xf borderId="29" fillId="3" fontId="11" numFmtId="3" xfId="0" applyAlignment="1" applyBorder="1" applyFont="1" applyNumberFormat="1">
      <alignment horizontal="center" shrinkToFit="0" vertical="center" wrapText="1"/>
    </xf>
    <xf borderId="133" fillId="3" fontId="11" numFmtId="3" xfId="0" applyAlignment="1" applyBorder="1" applyFont="1" applyNumberFormat="1">
      <alignment horizontal="center" shrinkToFit="0" vertical="center" wrapText="1"/>
    </xf>
    <xf borderId="30" fillId="3" fontId="11" numFmtId="3" xfId="0" applyAlignment="1" applyBorder="1" applyFont="1" applyNumberFormat="1">
      <alignment horizontal="center" shrinkToFit="0" vertical="center" wrapText="1"/>
    </xf>
    <xf borderId="29" fillId="3" fontId="11" numFmtId="168" xfId="0" applyAlignment="1" applyBorder="1" applyFont="1" applyNumberFormat="1">
      <alignment horizontal="center" vertical="center"/>
    </xf>
    <xf borderId="29" fillId="3" fontId="11" numFmtId="1" xfId="0" applyAlignment="1" applyBorder="1" applyFont="1" applyNumberFormat="1">
      <alignment horizontal="center" vertical="center"/>
    </xf>
    <xf borderId="30" fillId="3" fontId="11" numFmtId="168" xfId="0" applyAlignment="1" applyBorder="1" applyFont="1" applyNumberFormat="1">
      <alignment horizontal="center" vertical="center"/>
    </xf>
    <xf borderId="30" fillId="0" fontId="12" numFmtId="3" xfId="0" applyAlignment="1" applyBorder="1" applyFont="1" applyNumberFormat="1">
      <alignment horizontal="center" vertical="center"/>
    </xf>
    <xf borderId="134" fillId="0" fontId="6" numFmtId="0" xfId="0" applyBorder="1" applyFont="1"/>
    <xf borderId="135" fillId="0" fontId="6" numFmtId="0" xfId="0" applyBorder="1" applyFont="1"/>
    <xf borderId="136" fillId="3" fontId="11" numFmtId="0" xfId="0" applyAlignment="1" applyBorder="1" applyFont="1">
      <alignment horizontal="center" shrinkToFit="0" vertical="center" wrapText="1"/>
    </xf>
    <xf borderId="137" fillId="0" fontId="6" numFmtId="0" xfId="0" applyBorder="1" applyFont="1"/>
    <xf borderId="138" fillId="0" fontId="6" numFmtId="0" xfId="0" applyBorder="1" applyFont="1"/>
    <xf borderId="139" fillId="3" fontId="11" numFmtId="0" xfId="0" applyAlignment="1" applyBorder="1" applyFont="1">
      <alignment shrinkToFit="0" vertical="center" wrapText="1"/>
    </xf>
    <xf borderId="136" fillId="0" fontId="11" numFmtId="3" xfId="0" applyAlignment="1" applyBorder="1" applyFont="1" applyNumberFormat="1">
      <alignment horizontal="center" shrinkToFit="0" vertical="center" wrapText="1"/>
    </xf>
    <xf borderId="140" fillId="3" fontId="13" numFmtId="1" xfId="0" applyAlignment="1" applyBorder="1" applyFont="1" applyNumberFormat="1">
      <alignment horizontal="center" vertical="center"/>
    </xf>
    <xf borderId="140" fillId="3" fontId="11" numFmtId="3" xfId="0" applyAlignment="1" applyBorder="1" applyFont="1" applyNumberFormat="1">
      <alignment horizontal="center" shrinkToFit="0" vertical="center" wrapText="1"/>
    </xf>
    <xf borderId="139" fillId="3" fontId="11" numFmtId="3" xfId="0" applyAlignment="1" applyBorder="1" applyFont="1" applyNumberFormat="1">
      <alignment horizontal="center" shrinkToFit="0" vertical="center" wrapText="1"/>
    </xf>
    <xf borderId="141" fillId="3" fontId="11" numFmtId="3" xfId="0" applyAlignment="1" applyBorder="1" applyFont="1" applyNumberFormat="1">
      <alignment horizontal="center" shrinkToFit="0" vertical="center" wrapText="1"/>
    </xf>
    <xf borderId="136" fillId="3" fontId="11" numFmtId="3" xfId="0" applyAlignment="1" applyBorder="1" applyFont="1" applyNumberFormat="1">
      <alignment horizontal="center" shrinkToFit="0" vertical="center" wrapText="1"/>
    </xf>
    <xf borderId="142" fillId="3" fontId="11" numFmtId="3" xfId="0" applyAlignment="1" applyBorder="1" applyFont="1" applyNumberFormat="1">
      <alignment horizontal="center" shrinkToFit="0" vertical="center" wrapText="1"/>
    </xf>
    <xf borderId="143" fillId="3" fontId="11" numFmtId="168" xfId="0" applyAlignment="1" applyBorder="1" applyFont="1" applyNumberFormat="1">
      <alignment horizontal="center" vertical="center"/>
    </xf>
    <xf borderId="143" fillId="3" fontId="11" numFmtId="1" xfId="0" applyAlignment="1" applyBorder="1" applyFont="1" applyNumberFormat="1">
      <alignment horizontal="center" vertical="center"/>
    </xf>
    <xf borderId="136" fillId="3" fontId="11" numFmtId="168" xfId="0" applyAlignment="1" applyBorder="1" applyFont="1" applyNumberFormat="1">
      <alignment horizontal="center" vertical="center"/>
    </xf>
    <xf borderId="136" fillId="0" fontId="12" numFmtId="3" xfId="0" applyAlignment="1" applyBorder="1" applyFont="1" applyNumberFormat="1">
      <alignment horizontal="center" vertical="center"/>
    </xf>
    <xf borderId="144" fillId="0" fontId="6" numFmtId="0" xfId="0" applyBorder="1" applyFont="1"/>
    <xf borderId="1" fillId="2" fontId="1" numFmtId="3" xfId="0" applyBorder="1" applyFont="1" applyNumberFormat="1"/>
    <xf borderId="0" fillId="0" fontId="1" numFmtId="3" xfId="0" applyFont="1" applyNumberFormat="1"/>
    <xf borderId="145" fillId="0" fontId="12" numFmtId="3" xfId="0" applyAlignment="1" applyBorder="1" applyFont="1" applyNumberFormat="1">
      <alignment horizontal="center" vertical="center"/>
    </xf>
    <xf borderId="22" fillId="3" fontId="1" numFmtId="3" xfId="0" applyAlignment="1" applyBorder="1" applyFont="1" applyNumberFormat="1">
      <alignment horizontal="center"/>
    </xf>
    <xf borderId="7" fillId="0" fontId="12" numFmtId="3" xfId="0" applyAlignment="1" applyBorder="1" applyFont="1" applyNumberFormat="1">
      <alignment horizontal="center" shrinkToFit="0" vertical="center" wrapText="1"/>
    </xf>
    <xf borderId="10" fillId="0" fontId="12" numFmtId="3" xfId="0" applyAlignment="1" applyBorder="1" applyFont="1" applyNumberFormat="1">
      <alignment horizontal="center" shrinkToFit="0" vertical="center" wrapText="1"/>
    </xf>
    <xf borderId="145" fillId="0" fontId="1" numFmtId="3" xfId="0" applyAlignment="1" applyBorder="1" applyFont="1" applyNumberFormat="1">
      <alignment horizontal="center" shrinkToFit="0" wrapText="1"/>
    </xf>
    <xf borderId="146" fillId="8" fontId="20" numFmtId="0" xfId="0" applyAlignment="1" applyBorder="1" applyFont="1">
      <alignment horizontal="center" vertical="center"/>
    </xf>
    <xf borderId="15" fillId="8" fontId="20" numFmtId="0" xfId="0" applyAlignment="1" applyBorder="1" applyFont="1">
      <alignment horizontal="center" vertical="center"/>
    </xf>
    <xf borderId="56" fillId="8" fontId="20" numFmtId="0" xfId="0" applyAlignment="1" applyBorder="1" applyFont="1">
      <alignment horizontal="center" vertical="center"/>
    </xf>
    <xf borderId="147" fillId="0" fontId="12" numFmtId="3" xfId="0" applyAlignment="1" applyBorder="1" applyFont="1" applyNumberFormat="1">
      <alignment horizontal="center" vertical="center"/>
    </xf>
    <xf borderId="148" fillId="0" fontId="6" numFmtId="0" xfId="0" applyBorder="1" applyFont="1"/>
    <xf borderId="149" fillId="0" fontId="6" numFmtId="0" xfId="0" applyBorder="1" applyFont="1"/>
    <xf borderId="150" fillId="0" fontId="12" numFmtId="3" xfId="0" applyAlignment="1" applyBorder="1" applyFont="1" applyNumberFormat="1">
      <alignment vertical="center"/>
    </xf>
    <xf borderId="3" fillId="0" fontId="12" numFmtId="3" xfId="0" applyAlignment="1" applyBorder="1" applyFont="1" applyNumberFormat="1">
      <alignment vertical="center"/>
    </xf>
    <xf borderId="0" fillId="0" fontId="12" numFmtId="3" xfId="0" applyAlignment="1" applyFont="1" applyNumberFormat="1">
      <alignment vertical="center"/>
    </xf>
    <xf borderId="0" fillId="0" fontId="12" numFmtId="171" xfId="0" applyAlignment="1" applyFont="1" applyNumberFormat="1">
      <alignment vertical="center"/>
    </xf>
    <xf borderId="0" fillId="0" fontId="12" numFmtId="0" xfId="0" applyAlignment="1" applyFont="1">
      <alignment vertical="center"/>
    </xf>
    <xf borderId="30" fillId="9" fontId="28" numFmtId="3" xfId="0" applyAlignment="1" applyBorder="1" applyFill="1" applyFont="1" applyNumberFormat="1">
      <alignment horizontal="center"/>
    </xf>
    <xf borderId="151" fillId="0" fontId="6" numFmtId="0" xfId="0" applyBorder="1" applyFont="1"/>
    <xf quotePrefix="1" borderId="152" fillId="8" fontId="26" numFmtId="0" xfId="0" applyAlignment="1" applyBorder="1" applyFont="1">
      <alignment horizontal="center" vertical="center"/>
    </xf>
    <xf borderId="153" fillId="0" fontId="6" numFmtId="0" xfId="0" applyBorder="1" applyFont="1"/>
    <xf borderId="154" fillId="8" fontId="26" numFmtId="0" xfId="0" applyAlignment="1" applyBorder="1" applyFont="1">
      <alignment horizontal="center" vertical="center"/>
    </xf>
    <xf borderId="155" fillId="0" fontId="6" numFmtId="0" xfId="0" applyBorder="1" applyFont="1"/>
    <xf borderId="156" fillId="0" fontId="6" numFmtId="0" xfId="0" applyBorder="1" applyFont="1"/>
    <xf borderId="41" fillId="0" fontId="6" numFmtId="0" xfId="0" applyBorder="1" applyFont="1"/>
    <xf borderId="157" fillId="0" fontId="12" numFmtId="3" xfId="0" applyAlignment="1" applyBorder="1" applyFont="1" applyNumberFormat="1">
      <alignment vertical="center"/>
    </xf>
    <xf borderId="30" fillId="3" fontId="13" numFmtId="169" xfId="0" applyAlignment="1" applyBorder="1" applyFont="1" applyNumberFormat="1">
      <alignment horizontal="center" vertical="center"/>
    </xf>
    <xf borderId="1" fillId="3" fontId="20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center" vertical="center"/>
    </xf>
    <xf borderId="1" fillId="3" fontId="12" numFmtId="3" xfId="0" applyAlignment="1" applyBorder="1" applyFont="1" applyNumberFormat="1">
      <alignment horizontal="center" vertical="center"/>
    </xf>
    <xf borderId="0" fillId="0" fontId="12" numFmtId="3" xfId="0" applyAlignment="1" applyFont="1" applyNumberFormat="1">
      <alignment horizontal="center" vertical="center"/>
    </xf>
    <xf borderId="0" fillId="0" fontId="11" numFmtId="0" xfId="0" applyAlignment="1" applyFont="1">
      <alignment horizontal="center"/>
    </xf>
    <xf borderId="158" fillId="3" fontId="12" numFmtId="0" xfId="0" applyAlignment="1" applyBorder="1" applyFont="1">
      <alignment horizontal="center" vertical="center"/>
    </xf>
    <xf borderId="158" fillId="3" fontId="21" numFmtId="1" xfId="0" applyAlignment="1" applyBorder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12" numFmtId="4" xfId="0" applyAlignment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4" xfId="0" applyAlignment="1" applyFont="1" applyNumberFormat="1">
      <alignment horizontal="center" shrinkToFit="0" vertical="center" wrapText="1"/>
    </xf>
    <xf borderId="0" fillId="0" fontId="12" numFmtId="4" xfId="0" applyAlignment="1" applyFont="1" applyNumberFormat="1">
      <alignment horizontal="center" vertical="center"/>
    </xf>
    <xf borderId="1" fillId="3" fontId="1" numFmtId="0" xfId="0" applyAlignment="1" applyBorder="1" applyFont="1">
      <alignment horizontal="center" vertical="center"/>
    </xf>
    <xf borderId="88" fillId="8" fontId="20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/>
    </xf>
    <xf borderId="65" fillId="8" fontId="20" numFmtId="0" xfId="0" applyAlignment="1" applyBorder="1" applyFont="1">
      <alignment horizontal="center" vertical="center"/>
    </xf>
    <xf borderId="68" fillId="8" fontId="20" numFmtId="0" xfId="0" applyAlignment="1" applyBorder="1" applyFont="1">
      <alignment horizontal="center" vertical="center"/>
    </xf>
    <xf borderId="159" fillId="0" fontId="6" numFmtId="0" xfId="0" applyBorder="1" applyFont="1"/>
    <xf borderId="0" fillId="0" fontId="12" numFmtId="4" xfId="0" applyAlignment="1" applyFont="1" applyNumberFormat="1">
      <alignment horizontal="center"/>
    </xf>
    <xf borderId="0" fillId="0" fontId="12" numFmtId="4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shrinkToFit="0" wrapText="1"/>
    </xf>
    <xf borderId="30" fillId="0" fontId="13" numFmtId="0" xfId="0" applyAlignment="1" applyBorder="1" applyFont="1">
      <alignment horizontal="center" vertical="center"/>
    </xf>
    <xf borderId="30" fillId="0" fontId="2" numFmtId="3" xfId="0" applyAlignment="1" applyBorder="1" applyFont="1" applyNumberFormat="1">
      <alignment horizontal="center" vertical="center"/>
    </xf>
    <xf borderId="0" fillId="0" fontId="1" numFmtId="4" xfId="0" applyAlignment="1" applyFont="1" applyNumberFormat="1">
      <alignment horizontal="center"/>
    </xf>
    <xf borderId="147" fillId="0" fontId="2" numFmtId="0" xfId="0" applyAlignment="1" applyBorder="1" applyFont="1">
      <alignment horizontal="left" shrinkToFit="0" vertical="top" wrapText="1"/>
    </xf>
    <xf borderId="157" fillId="0" fontId="2" numFmtId="0" xfId="0" applyAlignment="1" applyBorder="1" applyFont="1">
      <alignment horizontal="left" shrinkToFit="0" wrapText="1"/>
    </xf>
    <xf borderId="155" fillId="0" fontId="2" numFmtId="0" xfId="0" applyAlignment="1" applyBorder="1" applyFont="1">
      <alignment horizontal="left" shrinkToFit="0" wrapText="1"/>
    </xf>
    <xf borderId="1" fillId="2" fontId="12" numFmtId="0" xfId="0" applyAlignment="1" applyBorder="1" applyFont="1">
      <alignment vertical="center"/>
    </xf>
    <xf borderId="157" fillId="0" fontId="12" numFmtId="0" xfId="0" applyAlignment="1" applyBorder="1" applyFont="1">
      <alignment vertical="center"/>
    </xf>
    <xf borderId="160" fillId="3" fontId="12" numFmtId="0" xfId="0" applyAlignment="1" applyBorder="1" applyFont="1">
      <alignment horizontal="left" vertical="center"/>
    </xf>
    <xf borderId="1" fillId="3" fontId="12" numFmtId="0" xfId="0" applyAlignment="1" applyBorder="1" applyFont="1">
      <alignment vertical="center"/>
    </xf>
    <xf borderId="161" fillId="0" fontId="1" numFmtId="0" xfId="0" applyBorder="1" applyFont="1"/>
    <xf borderId="11" fillId="0" fontId="1" numFmtId="0" xfId="0" applyBorder="1" applyFont="1"/>
    <xf borderId="162" fillId="3" fontId="1" numFmtId="0" xfId="0" applyBorder="1" applyFont="1"/>
    <xf borderId="22" fillId="3" fontId="1" numFmtId="0" xfId="0" applyBorder="1" applyFont="1"/>
    <xf borderId="163" fillId="3" fontId="1" numFmtId="0" xfId="0" applyBorder="1" applyFont="1"/>
    <xf borderId="157" fillId="0" fontId="1" numFmtId="0" xfId="0" applyBorder="1" applyFont="1"/>
    <xf borderId="25" fillId="0" fontId="1" numFmtId="0" xfId="0" applyAlignment="1" applyBorder="1" applyFont="1">
      <alignment horizontal="left"/>
    </xf>
    <xf borderId="164" fillId="3" fontId="1" numFmtId="0" xfId="0" applyBorder="1" applyFont="1"/>
    <xf borderId="24" fillId="3" fontId="1" numFmtId="0" xfId="0" applyAlignment="1" applyBorder="1" applyFont="1">
      <alignment horizontal="left"/>
    </xf>
    <xf borderId="105" fillId="0" fontId="1" numFmtId="0" xfId="0" applyBorder="1" applyFont="1"/>
    <xf borderId="3" fillId="0" fontId="1" numFmtId="0" xfId="0" applyAlignment="1" applyBorder="1" applyFont="1">
      <alignment horizontal="left"/>
    </xf>
    <xf borderId="15" fillId="3" fontId="1" numFmtId="0" xfId="0" applyAlignment="1" applyBorder="1" applyFont="1">
      <alignment horizontal="left"/>
    </xf>
    <xf borderId="155" fillId="0" fontId="1" numFmtId="0" xfId="0" applyBorder="1" applyFont="1"/>
    <xf borderId="156" fillId="0" fontId="1" numFmtId="0" xfId="0" applyBorder="1" applyFont="1"/>
    <xf borderId="165" fillId="3" fontId="1" numFmtId="0" xfId="0" applyBorder="1" applyFont="1"/>
    <xf borderId="154" fillId="3" fontId="1" numFmtId="0" xfId="0" applyBorder="1" applyFont="1"/>
    <xf borderId="156" fillId="0" fontId="1" numFmtId="0" xfId="0" applyAlignment="1" applyBorder="1" applyFont="1">
      <alignment vertical="top"/>
    </xf>
    <xf borderId="41" fillId="0" fontId="1" numFmtId="0" xfId="0" applyBorder="1" applyFont="1"/>
    <xf borderId="0" fillId="0" fontId="1" numFmtId="0" xfId="0" applyAlignment="1" applyFont="1">
      <alignment vertical="top"/>
    </xf>
    <xf borderId="0" fillId="0" fontId="29" numFmtId="0" xfId="0" applyFont="1"/>
    <xf borderId="166" fillId="3" fontId="1" numFmtId="0" xfId="0" applyBorder="1" applyFont="1"/>
    <xf borderId="167" fillId="3" fontId="1" numFmtId="0" xfId="0" applyBorder="1" applyFont="1"/>
    <xf borderId="168" fillId="3" fontId="1" numFmtId="0" xfId="0" applyBorder="1" applyFont="1"/>
    <xf borderId="169" fillId="8" fontId="30" numFmtId="0" xfId="0" applyBorder="1" applyFont="1"/>
    <xf borderId="1" fillId="8" fontId="30" numFmtId="0" xfId="0" applyBorder="1" applyFont="1"/>
    <xf borderId="170" fillId="8" fontId="30" numFmtId="0" xfId="0" applyBorder="1" applyFont="1"/>
    <xf borderId="169" fillId="3" fontId="3" numFmtId="0" xfId="0" applyBorder="1" applyFont="1"/>
    <xf borderId="1" fillId="3" fontId="31" numFmtId="0" xfId="0" applyBorder="1" applyFont="1"/>
    <xf borderId="1" fillId="3" fontId="3" numFmtId="0" xfId="0" applyBorder="1" applyFont="1"/>
    <xf borderId="170" fillId="3" fontId="1" numFmtId="0" xfId="0" applyBorder="1" applyFont="1"/>
    <xf borderId="1" fillId="3" fontId="32" numFmtId="0" xfId="0" applyAlignment="1" applyBorder="1" applyFont="1">
      <alignment horizontal="left" vertical="center"/>
    </xf>
    <xf borderId="169" fillId="3" fontId="13" numFmtId="0" xfId="0" applyAlignment="1" applyBorder="1" applyFont="1">
      <alignment horizontal="right" vertical="center"/>
    </xf>
    <xf borderId="1" fillId="6" fontId="33" numFmtId="0" xfId="0" applyBorder="1" applyFont="1"/>
    <xf borderId="169" fillId="3" fontId="11" numFmtId="0" xfId="0" applyBorder="1" applyFont="1"/>
    <xf borderId="1" fillId="2" fontId="32" numFmtId="0" xfId="0" applyAlignment="1" applyBorder="1" applyFont="1">
      <alignment horizontal="left"/>
    </xf>
    <xf borderId="1" fillId="3" fontId="34" numFmtId="0" xfId="0" applyAlignment="1" applyBorder="1" applyFont="1">
      <alignment horizontal="left" vertical="center"/>
    </xf>
    <xf borderId="1" fillId="3" fontId="35" numFmtId="0" xfId="0" applyAlignment="1" applyBorder="1" applyFont="1">
      <alignment horizontal="left" vertical="center"/>
    </xf>
    <xf borderId="1" fillId="3" fontId="34" numFmtId="0" xfId="0" applyAlignment="1" applyBorder="1" applyFont="1">
      <alignment horizontal="left"/>
    </xf>
    <xf quotePrefix="1" borderId="1" fillId="3" fontId="34" numFmtId="0" xfId="0" applyAlignment="1" applyBorder="1" applyFont="1">
      <alignment shrinkToFit="0" vertical="center" wrapText="1"/>
    </xf>
    <xf borderId="1" fillId="3" fontId="34" numFmtId="0" xfId="0" applyAlignment="1" applyBorder="1" applyFont="1">
      <alignment shrinkToFit="0" vertical="center" wrapText="1"/>
    </xf>
    <xf borderId="170" fillId="3" fontId="34" numFmtId="0" xfId="0" applyAlignment="1" applyBorder="1" applyFont="1">
      <alignment shrinkToFit="0" vertical="center" wrapText="1"/>
    </xf>
    <xf borderId="1" fillId="3" fontId="32" numFmtId="0" xfId="0" applyAlignment="1" applyBorder="1" applyFont="1">
      <alignment horizontal="left"/>
    </xf>
    <xf borderId="1" fillId="3" fontId="2" numFmtId="0" xfId="0" applyBorder="1" applyFont="1"/>
    <xf borderId="1" fillId="3" fontId="35" numFmtId="0" xfId="0" applyAlignment="1" applyBorder="1" applyFont="1">
      <alignment horizontal="left"/>
    </xf>
    <xf borderId="169" fillId="3" fontId="1" numFmtId="0" xfId="0" applyBorder="1" applyFont="1"/>
    <xf borderId="169" fillId="3" fontId="36" numFmtId="0" xfId="0" applyBorder="1" applyFont="1"/>
    <xf borderId="171" fillId="3" fontId="1" numFmtId="0" xfId="0" applyBorder="1" applyFont="1"/>
    <xf borderId="172" fillId="3" fontId="1" numFmtId="0" xfId="0" applyBorder="1" applyFont="1"/>
    <xf borderId="173" fillId="3" fontId="1" numFmtId="0" xfId="0" applyBorder="1" applyFont="1"/>
    <xf borderId="56" fillId="3" fontId="7" numFmtId="0" xfId="0" applyAlignment="1" applyBorder="1" applyFont="1">
      <alignment vertical="center"/>
    </xf>
    <xf borderId="29" fillId="0" fontId="16" numFmtId="0" xfId="0" applyBorder="1" applyFont="1"/>
    <xf borderId="62" fillId="10" fontId="37" numFmtId="0" xfId="0" applyAlignment="1" applyBorder="1" applyFill="1" applyFont="1">
      <alignment horizontal="center" shrinkToFit="0" vertical="center" wrapText="1"/>
    </xf>
    <xf borderId="174" fillId="0" fontId="6" numFmtId="0" xfId="0" applyBorder="1" applyFont="1"/>
    <xf borderId="175" fillId="0" fontId="6" numFmtId="0" xfId="0" applyBorder="1" applyFont="1"/>
    <xf borderId="61" fillId="3" fontId="38" numFmtId="0" xfId="0" applyAlignment="1" applyBorder="1" applyFont="1">
      <alignment horizontal="center"/>
    </xf>
    <xf borderId="1" fillId="3" fontId="39" numFmtId="0" xfId="0" applyBorder="1" applyFont="1"/>
    <xf borderId="61" fillId="3" fontId="38" numFmtId="0" xfId="0" applyAlignment="1" applyBorder="1" applyFont="1">
      <alignment horizontal="center" shrinkToFit="0" vertical="center" wrapText="1"/>
    </xf>
    <xf borderId="1" fillId="3" fontId="38" numFmtId="0" xfId="0" applyAlignment="1" applyBorder="1" applyFont="1">
      <alignment horizontal="center" shrinkToFit="0" vertical="center" wrapText="1"/>
    </xf>
    <xf quotePrefix="1" borderId="1" fillId="3" fontId="11" numFmtId="0" xfId="0" applyAlignment="1" applyBorder="1" applyFont="1">
      <alignment horizontal="right"/>
    </xf>
    <xf borderId="22" fillId="3" fontId="13" numFmtId="166" xfId="0" applyAlignment="1" applyBorder="1" applyFont="1" applyNumberFormat="1">
      <alignment horizontal="center"/>
    </xf>
    <xf borderId="22" fillId="3" fontId="13" numFmtId="0" xfId="0" applyAlignment="1" applyBorder="1" applyFont="1">
      <alignment horizontal="center"/>
    </xf>
    <xf borderId="160" fillId="2" fontId="40" numFmtId="0" xfId="0" applyAlignment="1" applyBorder="1" applyFont="1">
      <alignment horizontal="center"/>
    </xf>
    <xf borderId="1" fillId="2" fontId="11" numFmtId="0" xfId="0" applyAlignment="1" applyBorder="1" applyFont="1">
      <alignment horizontal="left"/>
    </xf>
    <xf borderId="176" fillId="2" fontId="41" numFmtId="0" xfId="0" applyAlignment="1" applyBorder="1" applyFont="1">
      <alignment horizontal="center"/>
    </xf>
    <xf borderId="177" fillId="0" fontId="6" numFmtId="0" xfId="0" applyBorder="1" applyFont="1"/>
    <xf borderId="29" fillId="8" fontId="22" numFmtId="0" xfId="0" applyAlignment="1" applyBorder="1" applyFont="1">
      <alignment horizontal="center"/>
    </xf>
    <xf quotePrefix="1" borderId="29" fillId="8" fontId="22" numFmtId="0" xfId="0" applyAlignment="1" applyBorder="1" applyFont="1">
      <alignment horizontal="center"/>
    </xf>
    <xf borderId="123" fillId="8" fontId="22" numFmtId="0" xfId="0" applyBorder="1" applyFont="1"/>
    <xf borderId="1" fillId="8" fontId="22" numFmtId="0" xfId="0" applyAlignment="1" applyBorder="1" applyFont="1">
      <alignment horizontal="center"/>
    </xf>
    <xf borderId="29" fillId="3" fontId="11" numFmtId="14" xfId="0" applyBorder="1" applyFont="1" applyNumberFormat="1"/>
    <xf borderId="29" fillId="3" fontId="11" numFmtId="0" xfId="0" applyBorder="1" applyFont="1"/>
    <xf borderId="120" fillId="3" fontId="11" numFmtId="4" xfId="0" applyBorder="1" applyFont="1" applyNumberFormat="1"/>
    <xf borderId="178" fillId="3" fontId="11" numFmtId="3" xfId="0" applyBorder="1" applyFont="1" applyNumberFormat="1"/>
    <xf borderId="179" fillId="3" fontId="11" numFmtId="168" xfId="0" applyBorder="1" applyFont="1" applyNumberFormat="1"/>
    <xf borderId="158" fillId="3" fontId="12" numFmtId="0" xfId="0" applyAlignment="1" applyBorder="1" applyFont="1">
      <alignment horizontal="center"/>
    </xf>
    <xf borderId="180" fillId="3" fontId="13" numFmtId="4" xfId="0" applyBorder="1" applyFont="1" applyNumberFormat="1"/>
    <xf quotePrefix="1" borderId="160" fillId="2" fontId="40" numFmtId="0" xfId="0" applyAlignment="1" applyBorder="1" applyFont="1">
      <alignment horizontal="center" shrinkToFit="0" vertical="center" wrapText="1"/>
    </xf>
    <xf quotePrefix="1" borderId="176" fillId="2" fontId="41" numFmtId="0" xfId="0" applyAlignment="1" applyBorder="1" applyFont="1">
      <alignment horizontal="center" shrinkToFit="0" vertical="center" wrapText="1"/>
    </xf>
    <xf borderId="30" fillId="8" fontId="22" numFmtId="0" xfId="0" applyAlignment="1" applyBorder="1" applyFont="1">
      <alignment horizontal="center"/>
    </xf>
    <xf borderId="61" fillId="8" fontId="22" numFmtId="0" xfId="0" applyAlignment="1" applyBorder="1" applyFont="1">
      <alignment horizontal="center"/>
    </xf>
    <xf borderId="30" fillId="3" fontId="11" numFmtId="14" xfId="0" applyAlignment="1" applyBorder="1" applyFont="1" applyNumberFormat="1">
      <alignment horizontal="center"/>
    </xf>
    <xf borderId="17" fillId="3" fontId="11" numFmtId="0" xfId="0" applyAlignment="1" applyBorder="1" applyFont="1">
      <alignment horizontal="center"/>
    </xf>
    <xf borderId="27" fillId="3" fontId="11" numFmtId="14" xfId="0" applyAlignment="1" applyBorder="1" applyFont="1" applyNumberFormat="1">
      <alignment horizontal="center"/>
    </xf>
    <xf borderId="133" fillId="3" fontId="11" numFmtId="14" xfId="0" applyAlignment="1" applyBorder="1" applyFont="1" applyNumberFormat="1">
      <alignment horizontal="center"/>
    </xf>
    <xf borderId="22" fillId="3" fontId="11" numFmtId="0" xfId="0" applyAlignment="1" applyBorder="1" applyFont="1">
      <alignment horizontal="center"/>
    </xf>
    <xf borderId="178" fillId="3" fontId="11" numFmtId="0" xfId="0" applyAlignment="1" applyBorder="1" applyFont="1">
      <alignment horizontal="center"/>
    </xf>
    <xf borderId="30" fillId="3" fontId="11" numFmtId="0" xfId="0" applyAlignment="1" applyBorder="1" applyFont="1">
      <alignment horizontal="center"/>
    </xf>
    <xf borderId="181" fillId="3" fontId="11" numFmtId="0" xfId="0" applyAlignment="1" applyBorder="1" applyFont="1">
      <alignment horizontal="center"/>
    </xf>
    <xf borderId="182" fillId="0" fontId="6" numFmtId="0" xfId="0" applyBorder="1" applyFont="1"/>
    <xf quotePrefix="1" borderId="183" fillId="3" fontId="13" numFmtId="0" xfId="0" applyAlignment="1" applyBorder="1" applyFont="1">
      <alignment horizontal="center"/>
    </xf>
    <xf borderId="158" fillId="3" fontId="38" numFmtId="0" xfId="0" applyAlignment="1" applyBorder="1" applyFont="1">
      <alignment horizontal="center"/>
    </xf>
    <xf borderId="184" fillId="0" fontId="6" numFmtId="0" xfId="0" applyBorder="1" applyFont="1"/>
    <xf borderId="185" fillId="3" fontId="38" numFmtId="3" xfId="0" applyBorder="1" applyFont="1" applyNumberFormat="1"/>
    <xf quotePrefix="1" borderId="1" fillId="3" fontId="11" numFmtId="0" xfId="0" applyAlignment="1" applyBorder="1" applyFont="1">
      <alignment horizontal="left"/>
    </xf>
    <xf borderId="22" fillId="3" fontId="11" numFmtId="0" xfId="0" applyAlignment="1" applyBorder="1" applyFont="1">
      <alignment horizontal="left"/>
    </xf>
    <xf borderId="1" fillId="3" fontId="11" numFmtId="0" xfId="0" applyAlignment="1" applyBorder="1" applyFont="1">
      <alignment horizontal="left"/>
    </xf>
    <xf borderId="17" fillId="3" fontId="13" numFmtId="0" xfId="0" applyAlignment="1" applyBorder="1" applyFont="1">
      <alignment horizontal="left"/>
    </xf>
    <xf borderId="22" fillId="3" fontId="13" numFmtId="0" xfId="0" applyAlignment="1" applyBorder="1" applyFont="1">
      <alignment horizontal="left"/>
    </xf>
    <xf borderId="61" fillId="3" fontId="2" numFmtId="0" xfId="0" applyAlignment="1" applyBorder="1" applyFont="1">
      <alignment horizontal="left" shrinkToFit="0" vertical="center" wrapText="1"/>
    </xf>
    <xf borderId="0" fillId="0" fontId="42" numFmtId="0" xfId="0" applyFont="1"/>
    <xf borderId="0" fillId="0" fontId="43" numFmtId="0" xfId="0" applyFont="1"/>
    <xf borderId="0" fillId="0" fontId="44" numFmtId="0" xfId="0" applyFont="1"/>
    <xf borderId="0" fillId="0" fontId="45" numFmtId="0" xfId="0" applyFont="1"/>
    <xf borderId="0" fillId="0" fontId="16" numFmtId="0" xfId="0" applyFont="1"/>
    <xf borderId="0" fillId="0" fontId="46" numFmtId="0" xfId="0" applyFont="1"/>
    <xf borderId="0" fillId="0" fontId="16" numFmtId="49" xfId="0" applyFont="1" applyNumberFormat="1"/>
    <xf borderId="0" fillId="0" fontId="46" numFmtId="0" xfId="0" applyAlignment="1" applyFont="1">
      <alignment horizontal="left" shrinkToFit="0" vertical="top" wrapText="1"/>
    </xf>
    <xf borderId="1" fillId="11" fontId="16" numFmtId="0" xfId="0" applyBorder="1" applyFill="1" applyFont="1"/>
    <xf borderId="1" fillId="12" fontId="16" numFmtId="0" xfId="0" applyBorder="1" applyFill="1" applyFont="1"/>
    <xf borderId="186" fillId="6" fontId="47" numFmtId="0" xfId="0" applyAlignment="1" applyBorder="1" applyFont="1">
      <alignment horizontal="center"/>
    </xf>
    <xf borderId="0" fillId="0" fontId="48" numFmtId="0" xfId="0" applyAlignment="1" applyFont="1">
      <alignment horizontal="center"/>
    </xf>
    <xf borderId="187" fillId="0" fontId="12" numFmtId="0" xfId="0" applyBorder="1" applyFont="1"/>
    <xf borderId="1" fillId="13" fontId="13" numFmtId="0" xfId="0" applyBorder="1" applyFill="1" applyFont="1"/>
    <xf borderId="0" fillId="0" fontId="13" numFmtId="0" xfId="0" applyAlignment="1" applyFont="1">
      <alignment horizontal="center" shrinkToFit="0" vertical="top" wrapText="1"/>
    </xf>
    <xf borderId="0" fillId="0" fontId="48" numFmtId="0" xfId="0" applyAlignment="1" applyFont="1">
      <alignment horizontal="center" shrinkToFit="0" vertical="top" wrapText="1"/>
    </xf>
    <xf borderId="0" fillId="0" fontId="49" numFmtId="0" xfId="0" applyFont="1"/>
    <xf borderId="187" fillId="0" fontId="11" numFmtId="0" xfId="0" applyBorder="1" applyFont="1"/>
    <xf borderId="187" fillId="0" fontId="46" numFmtId="0" xfId="0" applyBorder="1" applyFont="1"/>
    <xf borderId="187" fillId="0" fontId="1" numFmtId="0" xfId="0" applyBorder="1" applyFont="1"/>
    <xf borderId="0" fillId="0" fontId="11" numFmtId="168" xfId="0" applyFont="1" applyNumberFormat="1"/>
    <xf borderId="0" fillId="0" fontId="49" numFmtId="0" xfId="0" applyAlignment="1" applyFont="1">
      <alignment horizontal="center"/>
    </xf>
    <xf borderId="0" fillId="0" fontId="49" numFmtId="16" xfId="0" applyAlignment="1" applyFont="1" applyNumberFormat="1">
      <alignment horizontal="center"/>
    </xf>
    <xf borderId="0" fillId="0" fontId="50" numFmtId="0" xfId="0" applyFont="1"/>
    <xf borderId="158" fillId="0" fontId="50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7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D99594"/>
          <bgColor rgb="FFD99594"/>
        </patternFill>
      </fill>
      <border/>
    </dxf>
    <dxf>
      <font/>
      <fill>
        <patternFill patternType="solid">
          <fgColor rgb="FFC6D9F0"/>
          <bgColor rgb="FFC6D9F0"/>
        </patternFill>
      </fill>
      <border/>
    </dxf>
    <dxf>
      <font/>
      <fill>
        <patternFill patternType="solid">
          <fgColor rgb="FFFFFFCC"/>
          <bgColor rgb="FFFFFF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1</xdr:row>
      <xdr:rowOff>19050</xdr:rowOff>
    </xdr:from>
    <xdr:ext cx="18573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0</xdr:row>
      <xdr:rowOff>57150</xdr:rowOff>
    </xdr:from>
    <xdr:ext cx="15906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866775</xdr:colOff>
      <xdr:row>1</xdr:row>
      <xdr:rowOff>123825</xdr:rowOff>
    </xdr:from>
    <xdr:ext cx="914400" cy="10096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76200</xdr:rowOff>
    </xdr:from>
    <xdr:ext cx="1038225" cy="781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6.29"/>
    <col customWidth="1" min="3" max="3" width="13.14"/>
    <col customWidth="1" min="4" max="4" width="4.43"/>
    <col customWidth="1" min="5" max="5" width="4.71"/>
    <col customWidth="1" min="6" max="6" width="4.86"/>
    <col customWidth="1" min="7" max="7" width="5.71"/>
    <col customWidth="1" min="8" max="8" width="6.71"/>
    <col customWidth="1" min="9" max="9" width="6.0"/>
    <col customWidth="1" min="10" max="10" width="6.86"/>
    <col customWidth="1" min="11" max="11" width="6.0"/>
    <col customWidth="1" min="12" max="12" width="14.14"/>
    <col customWidth="1" min="13" max="13" width="16.43"/>
    <col customWidth="1" min="14" max="14" width="11.86"/>
    <col customWidth="1" min="15" max="16" width="6.43"/>
    <col customWidth="1" min="17" max="17" width="10.86"/>
    <col customWidth="1" min="18" max="19" width="11.0"/>
    <col customWidth="1" min="20" max="20" width="14.0"/>
    <col customWidth="1" min="21" max="21" width="6.71"/>
    <col customWidth="1" min="22" max="22" width="8.0"/>
    <col customWidth="1" min="23" max="23" width="5.29"/>
    <col customWidth="1" min="24" max="24" width="10.29"/>
    <col customWidth="1" min="25" max="25" width="8.43"/>
    <col customWidth="1" min="26" max="26" width="20.29"/>
    <col customWidth="1" min="27" max="27" width="16.43"/>
    <col customWidth="1" min="28" max="28" width="14.86"/>
    <col customWidth="1" min="29" max="29" width="14.43"/>
    <col customWidth="1" hidden="1" min="30" max="30" width="13.86"/>
    <col customWidth="1" hidden="1" min="31" max="32" width="10.71"/>
    <col customWidth="1" hidden="1" min="33" max="33" width="3.14"/>
    <col customWidth="1" hidden="1" min="34" max="34" width="17.0"/>
    <col customWidth="1" hidden="1" min="35" max="35" width="15.43"/>
    <col customWidth="1" min="36" max="36" width="15.43"/>
    <col customWidth="1" hidden="1" min="37" max="37" width="14.86"/>
    <col customWidth="1" hidden="1" min="38" max="42" width="10.71"/>
    <col customWidth="1" min="43" max="237" width="12.0"/>
  </cols>
  <sheetData>
    <row r="1" ht="16.5" customHeight="1">
      <c r="A1" s="1"/>
      <c r="B1" s="2"/>
      <c r="C1" s="3"/>
      <c r="D1" s="4"/>
      <c r="E1" s="4"/>
      <c r="F1" s="5"/>
      <c r="Y1" s="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7" t="s">
        <v>0</v>
      </c>
      <c r="IC1" s="1"/>
    </row>
    <row r="2" ht="21.75" customHeight="1">
      <c r="A2" s="1"/>
      <c r="B2" s="2"/>
      <c r="C2" s="8" t="str">
        <f>+VLOOKUP(H2,LOGOS!$A:$C,2,0)</f>
        <v>LOGOFNC</v>
      </c>
      <c r="D2" s="9"/>
      <c r="E2" s="9"/>
      <c r="F2" s="9"/>
      <c r="G2" s="10"/>
      <c r="H2" s="11" t="s">
        <v>1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2"/>
      <c r="U2" s="13" t="s">
        <v>2</v>
      </c>
      <c r="V2" s="9"/>
      <c r="W2" s="14" t="s">
        <v>3</v>
      </c>
      <c r="X2" s="10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7" t="s">
        <v>4</v>
      </c>
      <c r="IC2" s="1"/>
    </row>
    <row r="3" ht="16.5" customHeight="1">
      <c r="A3" s="1"/>
      <c r="B3" s="3"/>
      <c r="C3" s="15"/>
      <c r="G3" s="16"/>
      <c r="H3" s="15"/>
      <c r="T3" s="17"/>
      <c r="U3" s="18"/>
      <c r="V3" s="19"/>
      <c r="W3" s="20"/>
      <c r="X3" s="21"/>
      <c r="Y3" s="3"/>
      <c r="Z3" s="1"/>
      <c r="AA3" s="2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7" t="s">
        <v>5</v>
      </c>
      <c r="IC3" s="1"/>
    </row>
    <row r="4" ht="21.0" customHeight="1">
      <c r="A4" s="1"/>
      <c r="B4" s="3"/>
      <c r="C4" s="15"/>
      <c r="G4" s="16"/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23"/>
      <c r="U4" s="24" t="s">
        <v>6</v>
      </c>
      <c r="V4" s="9"/>
      <c r="W4" s="25">
        <v>45720.0</v>
      </c>
      <c r="X4" s="26"/>
      <c r="Y4" s="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7" t="s">
        <v>7</v>
      </c>
      <c r="AL4" s="28"/>
      <c r="AM4" s="28"/>
      <c r="AN4" s="28"/>
      <c r="AO4" s="28"/>
      <c r="AP4" s="29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7" t="s">
        <v>8</v>
      </c>
      <c r="IC4" s="1"/>
    </row>
    <row r="5" ht="24.0" customHeight="1">
      <c r="A5" s="1"/>
      <c r="B5" s="3"/>
      <c r="C5" s="15"/>
      <c r="G5" s="16"/>
      <c r="H5" s="30" t="s">
        <v>9</v>
      </c>
      <c r="I5" s="9"/>
      <c r="J5" s="9"/>
      <c r="K5" s="9"/>
      <c r="L5" s="9"/>
      <c r="M5" s="9"/>
      <c r="N5" s="10"/>
      <c r="O5" s="30" t="s">
        <v>4</v>
      </c>
      <c r="P5" s="9"/>
      <c r="Q5" s="9"/>
      <c r="R5" s="9"/>
      <c r="S5" s="9"/>
      <c r="T5" s="10"/>
      <c r="U5" s="31"/>
      <c r="V5" s="31"/>
      <c r="W5" s="32" t="s">
        <v>10</v>
      </c>
      <c r="X5" s="10"/>
      <c r="Y5" s="3"/>
      <c r="Z5" s="1"/>
      <c r="AA5" s="33" t="s">
        <v>11</v>
      </c>
      <c r="AB5" s="34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7" t="s">
        <v>12</v>
      </c>
      <c r="IC5" s="1"/>
    </row>
    <row r="6" ht="16.5" customHeight="1">
      <c r="A6" s="1"/>
      <c r="B6" s="3"/>
      <c r="C6" s="18"/>
      <c r="D6" s="19"/>
      <c r="E6" s="19"/>
      <c r="F6" s="19"/>
      <c r="G6" s="21"/>
      <c r="H6" s="18"/>
      <c r="I6" s="19"/>
      <c r="J6" s="19"/>
      <c r="K6" s="19"/>
      <c r="L6" s="19"/>
      <c r="M6" s="19"/>
      <c r="N6" s="21"/>
      <c r="O6" s="18"/>
      <c r="P6" s="19"/>
      <c r="Q6" s="19"/>
      <c r="R6" s="19"/>
      <c r="S6" s="19"/>
      <c r="T6" s="21"/>
      <c r="U6" s="35"/>
      <c r="V6" s="35"/>
      <c r="W6" s="19"/>
      <c r="X6" s="21"/>
      <c r="Y6" s="36"/>
      <c r="Z6" s="37"/>
      <c r="AA6" s="1"/>
      <c r="AB6" s="1"/>
      <c r="AC6" s="1"/>
      <c r="AD6" s="1"/>
      <c r="AE6" s="1"/>
      <c r="AF6" s="1"/>
      <c r="AG6" s="1"/>
      <c r="AH6" s="1"/>
      <c r="AI6" s="1"/>
      <c r="AJ6" s="1"/>
      <c r="AK6" s="27" t="s">
        <v>7</v>
      </c>
      <c r="AL6" s="28"/>
      <c r="AM6" s="28"/>
      <c r="AN6" s="28"/>
      <c r="AO6" s="28"/>
      <c r="AP6" s="29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</row>
    <row r="7" ht="29.25" customHeight="1">
      <c r="A7" s="1"/>
      <c r="B7" s="3"/>
      <c r="C7" s="3"/>
      <c r="D7" s="3"/>
      <c r="E7" s="3"/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8"/>
      <c r="S7" s="3"/>
      <c r="T7" s="3"/>
      <c r="U7" s="3"/>
      <c r="V7" s="39" t="s">
        <v>14</v>
      </c>
      <c r="W7" s="9"/>
      <c r="X7" s="9"/>
      <c r="Y7" s="3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</row>
    <row r="8" ht="24.0" customHeight="1">
      <c r="A8" s="1"/>
      <c r="B8" s="3"/>
      <c r="C8" s="3"/>
      <c r="D8" s="40" t="s">
        <v>15</v>
      </c>
      <c r="J8" s="41" t="s">
        <v>16</v>
      </c>
      <c r="K8" s="28"/>
      <c r="L8" s="28"/>
      <c r="M8" s="28"/>
      <c r="N8" s="28"/>
      <c r="O8" s="28"/>
      <c r="P8" s="29"/>
      <c r="Q8" s="42"/>
      <c r="R8" s="42" t="str">
        <f>IF(J8=0,"V",VLOOKUP(J8,DATA!A:B,2,0))</f>
        <v>#N/A</v>
      </c>
      <c r="S8" s="43" t="s">
        <v>17</v>
      </c>
      <c r="V8" s="44">
        <v>45748.0</v>
      </c>
      <c r="W8" s="28"/>
      <c r="X8" s="29"/>
      <c r="Y8" s="3"/>
      <c r="Z8" s="1"/>
      <c r="AA8" s="1"/>
      <c r="AB8" s="1"/>
      <c r="AC8" s="1"/>
      <c r="AD8" s="1"/>
      <c r="AE8" s="45" t="s">
        <v>18</v>
      </c>
      <c r="AF8" s="46"/>
      <c r="AG8" s="46"/>
      <c r="AH8" s="4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</row>
    <row r="9" ht="31.5" customHeight="1">
      <c r="A9" s="1"/>
      <c r="B9" s="3"/>
      <c r="C9" s="3"/>
      <c r="D9" s="40" t="s">
        <v>19</v>
      </c>
      <c r="J9" s="41" t="s">
        <v>20</v>
      </c>
      <c r="K9" s="28"/>
      <c r="L9" s="28"/>
      <c r="M9" s="28"/>
      <c r="N9" s="28"/>
      <c r="O9" s="28"/>
      <c r="P9" s="29"/>
      <c r="Q9" s="42"/>
      <c r="R9" s="3"/>
      <c r="S9" s="43" t="s">
        <v>21</v>
      </c>
      <c r="V9" s="47" t="s">
        <v>22</v>
      </c>
      <c r="W9" s="48"/>
      <c r="X9" s="49"/>
      <c r="Y9" s="3"/>
      <c r="Z9" s="1"/>
      <c r="AA9" s="1"/>
      <c r="AB9" s="1"/>
      <c r="AC9" s="1"/>
      <c r="AD9" s="1"/>
      <c r="AE9" s="1"/>
      <c r="AF9" s="50" t="s">
        <v>23</v>
      </c>
      <c r="AG9" s="51"/>
      <c r="AH9" s="5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</row>
    <row r="10" ht="16.5" customHeight="1">
      <c r="A10" s="1"/>
      <c r="B10" s="3"/>
      <c r="C10" s="3"/>
      <c r="D10" s="52"/>
      <c r="E10" s="52"/>
      <c r="F10" s="52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3"/>
      <c r="S10" s="3"/>
      <c r="T10" s="54"/>
      <c r="U10" s="54"/>
      <c r="V10" s="38"/>
      <c r="W10" s="54"/>
      <c r="X10" s="55"/>
      <c r="Y10" s="3"/>
      <c r="Z10" s="1"/>
      <c r="AA10" s="1"/>
      <c r="AB10" s="1"/>
      <c r="AC10" s="1"/>
      <c r="AD10" s="1"/>
      <c r="AE10" s="56"/>
      <c r="AF10" s="57" t="s">
        <v>24</v>
      </c>
      <c r="AG10" s="57" t="s">
        <v>25</v>
      </c>
      <c r="AH10" s="57" t="s">
        <v>26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</row>
    <row r="11" ht="16.5" customHeight="1">
      <c r="A11" s="1"/>
      <c r="B11" s="3"/>
      <c r="C11" s="58" t="s">
        <v>27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59"/>
      <c r="Y11" s="3"/>
      <c r="Z11" s="1"/>
      <c r="AA11" s="1"/>
      <c r="AB11" s="1"/>
      <c r="AC11" s="1"/>
      <c r="AD11" s="1"/>
      <c r="AE11" s="57" t="s">
        <v>28</v>
      </c>
      <c r="AF11" s="60">
        <v>145000.0</v>
      </c>
      <c r="AG11" s="61">
        <v>104000.0</v>
      </c>
      <c r="AH11" s="61">
        <v>88000.0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</row>
    <row r="12" ht="10.5" customHeight="1">
      <c r="A12" s="1"/>
      <c r="B12" s="3"/>
      <c r="C12" s="62">
        <v>1.0</v>
      </c>
      <c r="D12" s="63"/>
      <c r="E12" s="63"/>
      <c r="F12" s="63"/>
      <c r="G12" s="63"/>
      <c r="H12" s="63"/>
      <c r="I12" s="63"/>
      <c r="J12" s="63"/>
      <c r="K12" s="63"/>
      <c r="L12" s="63"/>
      <c r="M12" s="64"/>
      <c r="N12" s="65">
        <v>2.0</v>
      </c>
      <c r="O12" s="64"/>
      <c r="P12" s="65">
        <v>3.0</v>
      </c>
      <c r="Q12" s="63"/>
      <c r="R12" s="63"/>
      <c r="S12" s="63"/>
      <c r="T12" s="63"/>
      <c r="U12" s="63"/>
      <c r="V12" s="64"/>
      <c r="W12" s="65">
        <v>4.0</v>
      </c>
      <c r="X12" s="66"/>
      <c r="Y12" s="3"/>
      <c r="Z12" s="67"/>
      <c r="AA12" s="1"/>
      <c r="AB12" s="1"/>
      <c r="AC12" s="1"/>
      <c r="AD12" s="1"/>
      <c r="AE12" s="68" t="s">
        <v>29</v>
      </c>
      <c r="AF12" s="69">
        <v>130000.0</v>
      </c>
      <c r="AG12" s="70">
        <v>91000.0</v>
      </c>
      <c r="AH12" s="70">
        <v>73000.0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</row>
    <row r="13" ht="16.5" customHeight="1">
      <c r="A13" s="1"/>
      <c r="B13" s="3"/>
      <c r="C13" s="71" t="s">
        <v>30</v>
      </c>
      <c r="D13" s="72"/>
      <c r="E13" s="72"/>
      <c r="F13" s="72"/>
      <c r="G13" s="72"/>
      <c r="H13" s="72"/>
      <c r="I13" s="72"/>
      <c r="J13" s="72"/>
      <c r="K13" s="72"/>
      <c r="L13" s="72"/>
      <c r="M13" s="73"/>
      <c r="N13" s="74" t="s">
        <v>31</v>
      </c>
      <c r="O13" s="73"/>
      <c r="P13" s="74" t="s">
        <v>32</v>
      </c>
      <c r="Q13" s="72"/>
      <c r="R13" s="72"/>
      <c r="S13" s="72"/>
      <c r="T13" s="72"/>
      <c r="U13" s="72"/>
      <c r="V13" s="73"/>
      <c r="W13" s="75" t="s">
        <v>33</v>
      </c>
      <c r="X13" s="76"/>
      <c r="Y13" s="3"/>
      <c r="Z13" s="1"/>
      <c r="AA13" s="1"/>
      <c r="AB13" s="1"/>
      <c r="AC13" s="1"/>
      <c r="AD13" s="1"/>
      <c r="AE13" s="57" t="s">
        <v>34</v>
      </c>
      <c r="AF13" s="69">
        <v>110000.0</v>
      </c>
      <c r="AG13" s="70">
        <v>76000.0</v>
      </c>
      <c r="AH13" s="70">
        <v>61000.0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</row>
    <row r="14" ht="27.75" customHeight="1">
      <c r="A14" s="1"/>
      <c r="B14" s="3"/>
      <c r="C14" s="77" t="s">
        <v>35</v>
      </c>
      <c r="D14" s="28"/>
      <c r="E14" s="28"/>
      <c r="F14" s="28"/>
      <c r="G14" s="28"/>
      <c r="H14" s="28"/>
      <c r="I14" s="28"/>
      <c r="J14" s="28"/>
      <c r="K14" s="28"/>
      <c r="L14" s="28"/>
      <c r="M14" s="78"/>
      <c r="N14" s="77">
        <v>1.110462834E9</v>
      </c>
      <c r="O14" s="78"/>
      <c r="P14" s="77" t="s">
        <v>36</v>
      </c>
      <c r="Q14" s="28"/>
      <c r="R14" s="28"/>
      <c r="S14" s="28"/>
      <c r="T14" s="28"/>
      <c r="U14" s="28"/>
      <c r="V14" s="78"/>
      <c r="W14" s="77" t="str">
        <f>IF(P14=0," ",VLOOKUP(P14,DATA!E:F,2,0))</f>
        <v>III Operativo</v>
      </c>
      <c r="X14" s="78"/>
      <c r="Y14" s="79" t="str">
        <f>IF(O5="NACIONAL",IF(W14=" ","X",VLOOKUP(W14,DATA!F:G,2,0)),IF(W14=" ","X",VLOOKUP(W14,DATA!F:H,3,0)))</f>
        <v>III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</row>
    <row r="15" ht="15.0" customHeight="1">
      <c r="A15" s="1"/>
      <c r="B15" s="3"/>
      <c r="C15" s="3"/>
      <c r="D15" s="80"/>
      <c r="E15" s="80"/>
      <c r="F15" s="80"/>
      <c r="G15" s="80"/>
      <c r="H15" s="80"/>
      <c r="I15" s="80"/>
      <c r="J15" s="80"/>
      <c r="K15" s="81"/>
      <c r="L15" s="81"/>
      <c r="M15" s="81"/>
      <c r="N15" s="81"/>
      <c r="O15" s="81"/>
      <c r="P15" s="81"/>
      <c r="Q15" s="81"/>
      <c r="R15" s="81"/>
      <c r="S15" s="81"/>
      <c r="T15" s="53"/>
      <c r="U15" s="53"/>
      <c r="V15" s="53"/>
      <c r="W15" s="53"/>
      <c r="X15" s="53"/>
      <c r="Y15" s="3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</row>
    <row r="16" ht="15.0" customHeight="1">
      <c r="A16" s="1"/>
      <c r="B16" s="3"/>
      <c r="C16" s="82" t="s">
        <v>37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26"/>
      <c r="Y16" s="3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</row>
    <row r="17" ht="10.5" customHeight="1">
      <c r="A17" s="1"/>
      <c r="B17" s="3"/>
      <c r="C17" s="84">
        <v>5.0</v>
      </c>
      <c r="D17" s="83"/>
      <c r="E17" s="85"/>
      <c r="F17" s="86">
        <v>6.0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5"/>
      <c r="T17" s="65">
        <v>7.0</v>
      </c>
      <c r="U17" s="63"/>
      <c r="V17" s="63"/>
      <c r="W17" s="63"/>
      <c r="X17" s="66"/>
      <c r="Y17" s="3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</row>
    <row r="18" ht="39.0" customHeight="1">
      <c r="A18" s="87"/>
      <c r="B18" s="88"/>
      <c r="C18" s="89" t="s">
        <v>38</v>
      </c>
      <c r="D18" s="28"/>
      <c r="E18" s="90"/>
      <c r="F18" s="91" t="s">
        <v>39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90"/>
      <c r="T18" s="91" t="s">
        <v>40</v>
      </c>
      <c r="U18" s="28"/>
      <c r="V18" s="28"/>
      <c r="W18" s="28"/>
      <c r="X18" s="78"/>
      <c r="Y18" s="88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87"/>
      <c r="DO18" s="87"/>
      <c r="DP18" s="87"/>
      <c r="DQ18" s="87"/>
      <c r="DR18" s="87"/>
      <c r="DS18" s="87"/>
      <c r="DT18" s="87"/>
      <c r="DU18" s="87"/>
      <c r="DV18" s="87"/>
      <c r="DW18" s="87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87"/>
      <c r="EQ18" s="87"/>
      <c r="ER18" s="87"/>
      <c r="ES18" s="87"/>
      <c r="ET18" s="87"/>
      <c r="EU18" s="87"/>
      <c r="EV18" s="87"/>
      <c r="EW18" s="87"/>
      <c r="EX18" s="87"/>
      <c r="EY18" s="87"/>
      <c r="EZ18" s="87"/>
      <c r="FA18" s="87"/>
      <c r="FB18" s="87"/>
      <c r="FC18" s="87"/>
      <c r="FD18" s="87"/>
      <c r="FE18" s="87"/>
      <c r="FF18" s="87"/>
      <c r="FG18" s="87"/>
      <c r="FH18" s="87"/>
      <c r="FI18" s="87"/>
      <c r="FJ18" s="87"/>
      <c r="FK18" s="87"/>
      <c r="FL18" s="87"/>
      <c r="FM18" s="87"/>
      <c r="FN18" s="87"/>
      <c r="FO18" s="87"/>
      <c r="FP18" s="87"/>
      <c r="FQ18" s="87"/>
      <c r="FR18" s="87"/>
      <c r="FS18" s="87"/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  <c r="GF18" s="87"/>
      <c r="GG18" s="87"/>
      <c r="GH18" s="87"/>
      <c r="GI18" s="87"/>
      <c r="GJ18" s="87"/>
      <c r="GK18" s="87"/>
      <c r="GL18" s="87"/>
      <c r="GM18" s="87"/>
      <c r="GN18" s="87"/>
      <c r="GO18" s="87"/>
      <c r="GP18" s="87"/>
      <c r="GQ18" s="87"/>
      <c r="GR18" s="87"/>
      <c r="GS18" s="87"/>
      <c r="GT18" s="87"/>
      <c r="GU18" s="87"/>
      <c r="GV18" s="87"/>
      <c r="GW18" s="87"/>
      <c r="GX18" s="87"/>
      <c r="GY18" s="87"/>
      <c r="GZ18" s="87"/>
      <c r="HA18" s="87"/>
      <c r="HB18" s="87"/>
      <c r="HC18" s="87"/>
      <c r="HD18" s="87"/>
      <c r="HE18" s="87"/>
      <c r="HF18" s="87"/>
      <c r="HG18" s="87"/>
      <c r="HH18" s="87"/>
      <c r="HI18" s="87"/>
      <c r="HJ18" s="87"/>
      <c r="HK18" s="87"/>
      <c r="HL18" s="87"/>
      <c r="HM18" s="87"/>
      <c r="HN18" s="87"/>
      <c r="HO18" s="87"/>
      <c r="HP18" s="87"/>
      <c r="HQ18" s="87"/>
      <c r="HR18" s="87"/>
      <c r="HS18" s="87"/>
      <c r="HT18" s="87"/>
      <c r="HU18" s="87"/>
      <c r="HV18" s="87"/>
      <c r="HW18" s="87"/>
      <c r="HX18" s="87"/>
      <c r="HY18" s="87"/>
      <c r="HZ18" s="87"/>
      <c r="IA18" s="87"/>
      <c r="IB18" s="87"/>
      <c r="IC18" s="87"/>
    </row>
    <row r="19" ht="31.5" customHeight="1">
      <c r="A19" s="1"/>
      <c r="B19" s="3"/>
      <c r="C19" s="92" t="s">
        <v>41</v>
      </c>
      <c r="D19" s="28"/>
      <c r="E19" s="78"/>
      <c r="F19" s="92" t="s">
        <v>42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78"/>
      <c r="T19" s="93" t="s">
        <v>43</v>
      </c>
      <c r="U19" s="48"/>
      <c r="V19" s="48"/>
      <c r="W19" s="48"/>
      <c r="X19" s="59"/>
      <c r="Y19" s="3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</row>
    <row r="20" ht="15.75" customHeight="1">
      <c r="A20" s="1"/>
      <c r="B20" s="3"/>
      <c r="C20" s="3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3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</row>
    <row r="21" ht="15.0" customHeight="1">
      <c r="A21" s="37"/>
      <c r="B21" s="36"/>
      <c r="C21" s="58" t="s">
        <v>44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59"/>
      <c r="Y21" s="94"/>
      <c r="Z21" s="37"/>
      <c r="AA21" s="37"/>
      <c r="AB21" s="37"/>
      <c r="AC21" s="37"/>
      <c r="AD21" s="95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</row>
    <row r="22" ht="15.0" customHeight="1">
      <c r="A22" s="96"/>
      <c r="B22" s="97"/>
      <c r="C22" s="98">
        <v>8.0</v>
      </c>
      <c r="D22" s="83"/>
      <c r="E22" s="83"/>
      <c r="F22" s="83"/>
      <c r="G22" s="83"/>
      <c r="H22" s="83"/>
      <c r="I22" s="99"/>
      <c r="J22" s="100">
        <v>9.0</v>
      </c>
      <c r="K22" s="83"/>
      <c r="L22" s="99"/>
      <c r="M22" s="101" t="s">
        <v>45</v>
      </c>
      <c r="N22" s="102" t="s">
        <v>46</v>
      </c>
      <c r="O22" s="99"/>
      <c r="P22" s="102" t="s">
        <v>47</v>
      </c>
      <c r="Q22" s="83"/>
      <c r="R22" s="99"/>
      <c r="S22" s="102">
        <v>10.0</v>
      </c>
      <c r="T22" s="83"/>
      <c r="U22" s="83"/>
      <c r="V22" s="83"/>
      <c r="W22" s="83"/>
      <c r="X22" s="26"/>
      <c r="Y22" s="103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96"/>
      <c r="GG22" s="96"/>
      <c r="GH22" s="96"/>
      <c r="GI22" s="96"/>
      <c r="GJ22" s="96"/>
      <c r="GK22" s="96"/>
      <c r="GL22" s="96"/>
      <c r="GM22" s="96"/>
      <c r="GN22" s="96"/>
      <c r="GO22" s="96"/>
      <c r="GP22" s="96"/>
      <c r="GQ22" s="96"/>
      <c r="GR22" s="96"/>
      <c r="GS22" s="96"/>
      <c r="GT22" s="96"/>
      <c r="GU22" s="96"/>
      <c r="GV22" s="96"/>
      <c r="GW22" s="96"/>
      <c r="GX22" s="96"/>
      <c r="GY22" s="96"/>
      <c r="GZ22" s="96"/>
      <c r="HA22" s="96"/>
      <c r="HB22" s="96"/>
      <c r="HC22" s="96"/>
      <c r="HD22" s="96"/>
      <c r="HE22" s="96"/>
      <c r="HF22" s="96"/>
      <c r="HG22" s="96"/>
      <c r="HH22" s="96"/>
      <c r="HI22" s="96"/>
      <c r="HJ22" s="96"/>
      <c r="HK22" s="96"/>
      <c r="HL22" s="96"/>
      <c r="HM22" s="96"/>
      <c r="HN22" s="96"/>
      <c r="HO22" s="96"/>
      <c r="HP22" s="96"/>
      <c r="HQ22" s="96"/>
      <c r="HR22" s="96"/>
      <c r="HS22" s="96"/>
      <c r="HT22" s="96"/>
      <c r="HU22" s="96"/>
      <c r="HV22" s="96"/>
      <c r="HW22" s="96"/>
      <c r="HX22" s="96"/>
      <c r="HY22" s="96"/>
      <c r="HZ22" s="96"/>
      <c r="IA22" s="96"/>
      <c r="IB22" s="96"/>
      <c r="IC22" s="96"/>
    </row>
    <row r="23" ht="24.0" customHeight="1">
      <c r="A23" s="37"/>
      <c r="B23" s="36"/>
      <c r="C23" s="104" t="s">
        <v>48</v>
      </c>
      <c r="D23" s="105"/>
      <c r="E23" s="105"/>
      <c r="F23" s="105"/>
      <c r="G23" s="105"/>
      <c r="H23" s="105"/>
      <c r="I23" s="106"/>
      <c r="J23" s="107" t="s">
        <v>49</v>
      </c>
      <c r="K23" s="63"/>
      <c r="L23" s="108"/>
      <c r="M23" s="109" t="s">
        <v>50</v>
      </c>
      <c r="N23" s="110" t="s">
        <v>51</v>
      </c>
      <c r="O23" s="108"/>
      <c r="P23" s="110" t="s">
        <v>51</v>
      </c>
      <c r="Q23" s="63"/>
      <c r="R23" s="64"/>
      <c r="S23" s="111" t="s">
        <v>52</v>
      </c>
      <c r="T23" s="112"/>
      <c r="U23" s="112"/>
      <c r="V23" s="112"/>
      <c r="W23" s="112"/>
      <c r="X23" s="113"/>
      <c r="Y23" s="94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</row>
    <row r="24" ht="26.25" customHeight="1">
      <c r="A24" s="37"/>
      <c r="B24" s="36"/>
      <c r="C24" s="114" t="s">
        <v>53</v>
      </c>
      <c r="D24" s="115"/>
      <c r="E24" s="116"/>
      <c r="F24" s="117" t="s">
        <v>54</v>
      </c>
      <c r="G24" s="116"/>
      <c r="H24" s="117" t="s">
        <v>55</v>
      </c>
      <c r="I24" s="118"/>
      <c r="J24" s="119"/>
      <c r="K24" s="28"/>
      <c r="L24" s="29"/>
      <c r="M24" s="109" t="s">
        <v>56</v>
      </c>
      <c r="N24" s="120" t="s">
        <v>56</v>
      </c>
      <c r="O24" s="29"/>
      <c r="P24" s="120" t="s">
        <v>57</v>
      </c>
      <c r="Q24" s="28"/>
      <c r="R24" s="90"/>
      <c r="S24" s="121"/>
      <c r="T24" s="122"/>
      <c r="U24" s="122"/>
      <c r="V24" s="122"/>
      <c r="W24" s="122"/>
      <c r="X24" s="123"/>
      <c r="Y24" s="94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</row>
    <row r="25" ht="12.75" customHeight="1">
      <c r="A25" s="37"/>
      <c r="B25" s="36"/>
      <c r="C25" s="124"/>
      <c r="D25" s="48"/>
      <c r="E25" s="59"/>
      <c r="F25" s="124"/>
      <c r="G25" s="59"/>
      <c r="H25" s="125"/>
      <c r="I25" s="59"/>
      <c r="J25" s="126"/>
      <c r="K25" s="48"/>
      <c r="L25" s="59"/>
      <c r="M25" s="127"/>
      <c r="N25" s="128"/>
      <c r="O25" s="59"/>
      <c r="P25" s="128" t="str">
        <f>IF(N25=0," ",(N25*$M$25))</f>
        <v> </v>
      </c>
      <c r="Q25" s="48"/>
      <c r="R25" s="59"/>
      <c r="S25" s="129"/>
      <c r="T25" s="48"/>
      <c r="U25" s="48"/>
      <c r="V25" s="48"/>
      <c r="W25" s="48"/>
      <c r="X25" s="59"/>
      <c r="Y25" s="94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</row>
    <row r="26" ht="12.75" customHeight="1">
      <c r="A26" s="37"/>
      <c r="B26" s="36"/>
      <c r="C26" s="124"/>
      <c r="D26" s="48"/>
      <c r="E26" s="59"/>
      <c r="F26" s="124"/>
      <c r="G26" s="59"/>
      <c r="H26" s="125"/>
      <c r="I26" s="59"/>
      <c r="J26" s="126"/>
      <c r="K26" s="48"/>
      <c r="L26" s="59"/>
      <c r="M26" s="127"/>
      <c r="N26" s="128"/>
      <c r="O26" s="59"/>
      <c r="P26" s="128"/>
      <c r="Q26" s="48"/>
      <c r="R26" s="59"/>
      <c r="S26" s="129"/>
      <c r="T26" s="48"/>
      <c r="U26" s="48"/>
      <c r="V26" s="48"/>
      <c r="W26" s="48"/>
      <c r="X26" s="59"/>
      <c r="Y26" s="94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</row>
    <row r="27" ht="12.75" customHeight="1">
      <c r="A27" s="37"/>
      <c r="B27" s="36"/>
      <c r="C27" s="124"/>
      <c r="D27" s="48"/>
      <c r="E27" s="59"/>
      <c r="F27" s="124"/>
      <c r="G27" s="59"/>
      <c r="H27" s="125"/>
      <c r="I27" s="59"/>
      <c r="J27" s="126"/>
      <c r="K27" s="48"/>
      <c r="L27" s="59"/>
      <c r="M27" s="127"/>
      <c r="N27" s="128"/>
      <c r="O27" s="59"/>
      <c r="P27" s="128"/>
      <c r="Q27" s="48"/>
      <c r="R27" s="59"/>
      <c r="S27" s="129"/>
      <c r="T27" s="48"/>
      <c r="U27" s="48"/>
      <c r="V27" s="48"/>
      <c r="W27" s="48"/>
      <c r="X27" s="59"/>
      <c r="Y27" s="94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</row>
    <row r="28" ht="12.75" customHeight="1">
      <c r="A28" s="37"/>
      <c r="B28" s="36"/>
      <c r="C28" s="124"/>
      <c r="D28" s="48"/>
      <c r="E28" s="59"/>
      <c r="F28" s="124"/>
      <c r="G28" s="59"/>
      <c r="H28" s="125"/>
      <c r="I28" s="59"/>
      <c r="J28" s="126"/>
      <c r="K28" s="48"/>
      <c r="L28" s="59"/>
      <c r="M28" s="127"/>
      <c r="N28" s="128"/>
      <c r="O28" s="59"/>
      <c r="P28" s="128"/>
      <c r="Q28" s="48"/>
      <c r="R28" s="59"/>
      <c r="S28" s="129"/>
      <c r="T28" s="48"/>
      <c r="U28" s="48"/>
      <c r="V28" s="48"/>
      <c r="W28" s="48"/>
      <c r="X28" s="59"/>
      <c r="Y28" s="94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</row>
    <row r="29" ht="12.75" customHeight="1">
      <c r="A29" s="37"/>
      <c r="B29" s="36"/>
      <c r="C29" s="124"/>
      <c r="D29" s="48"/>
      <c r="E29" s="59"/>
      <c r="F29" s="124"/>
      <c r="G29" s="59"/>
      <c r="H29" s="125"/>
      <c r="I29" s="59"/>
      <c r="J29" s="126"/>
      <c r="K29" s="48"/>
      <c r="L29" s="59"/>
      <c r="M29" s="127"/>
      <c r="N29" s="128"/>
      <c r="O29" s="59"/>
      <c r="P29" s="128"/>
      <c r="Q29" s="48"/>
      <c r="R29" s="59"/>
      <c r="S29" s="129"/>
      <c r="T29" s="48"/>
      <c r="U29" s="48"/>
      <c r="V29" s="48"/>
      <c r="W29" s="48"/>
      <c r="X29" s="59"/>
      <c r="Y29" s="94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</row>
    <row r="30" ht="18.75" customHeight="1">
      <c r="A30" s="37"/>
      <c r="B30" s="36"/>
      <c r="C30" s="130" t="s">
        <v>58</v>
      </c>
      <c r="D30" s="131"/>
      <c r="E30" s="131"/>
      <c r="F30" s="131"/>
      <c r="G30" s="131"/>
      <c r="H30" s="131"/>
      <c r="I30" s="131"/>
      <c r="J30" s="131"/>
      <c r="K30" s="131"/>
      <c r="L30" s="131"/>
      <c r="M30" s="127"/>
      <c r="N30" s="128"/>
      <c r="O30" s="59"/>
      <c r="P30" s="128">
        <f>IF(N30=0,0,(N30*$M$30))</f>
        <v>0</v>
      </c>
      <c r="Q30" s="48"/>
      <c r="R30" s="59"/>
      <c r="S30" s="132">
        <f>+P30</f>
        <v>0</v>
      </c>
      <c r="T30" s="9"/>
      <c r="U30" s="9"/>
      <c r="V30" s="9"/>
      <c r="W30" s="9"/>
      <c r="X30" s="10"/>
      <c r="Y30" s="94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</row>
    <row r="31" ht="16.5" customHeight="1">
      <c r="A31" s="37"/>
      <c r="B31" s="36"/>
      <c r="C31" s="133" t="s">
        <v>59</v>
      </c>
      <c r="D31" s="48"/>
      <c r="E31" s="48"/>
      <c r="F31" s="48"/>
      <c r="G31" s="48"/>
      <c r="H31" s="48"/>
      <c r="I31" s="48"/>
      <c r="J31" s="48"/>
      <c r="K31" s="48"/>
      <c r="L31" s="48"/>
      <c r="M31" s="59"/>
      <c r="N31" s="134">
        <f>SUM(N25:O29)-N30</f>
        <v>0</v>
      </c>
      <c r="O31" s="59"/>
      <c r="P31" s="135">
        <f>SUM(P25:R29)-P30</f>
        <v>0</v>
      </c>
      <c r="Q31" s="48"/>
      <c r="R31" s="59"/>
      <c r="S31" s="136" t="str">
        <f>IF(O5="NACIONAL",IF(SUM(S25:X29)=0," ",(SUM(S25:X29)-S30)),IF(SUM(P25:R29)=0," ",(SUM(P25:R29)-P30)))</f>
        <v> </v>
      </c>
      <c r="T31" s="137"/>
      <c r="U31" s="137"/>
      <c r="V31" s="137"/>
      <c r="W31" s="137"/>
      <c r="X31" s="138"/>
      <c r="Y31" s="94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</row>
    <row r="32" ht="16.5" customHeight="1">
      <c r="A32" s="37"/>
      <c r="B32" s="36"/>
      <c r="C32" s="94"/>
      <c r="D32" s="36"/>
      <c r="E32" s="139"/>
      <c r="F32" s="139"/>
      <c r="G32" s="139"/>
      <c r="H32" s="139"/>
      <c r="I32" s="139"/>
      <c r="J32" s="139"/>
      <c r="K32" s="139"/>
      <c r="L32" s="139"/>
      <c r="M32" s="140"/>
      <c r="N32" s="141"/>
      <c r="O32" s="141"/>
      <c r="P32" s="141"/>
      <c r="Q32" s="141"/>
      <c r="R32" s="141"/>
      <c r="S32" s="142"/>
      <c r="T32" s="142"/>
      <c r="U32" s="142"/>
      <c r="V32" s="142"/>
      <c r="W32" s="142"/>
      <c r="X32" s="142"/>
      <c r="Y32" s="94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</row>
    <row r="33" ht="16.5" customHeight="1">
      <c r="A33" s="37"/>
      <c r="B33" s="36"/>
      <c r="C33" s="143" t="s">
        <v>60</v>
      </c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5"/>
      <c r="Y33" s="94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</row>
    <row r="34" ht="15.75" customHeight="1">
      <c r="A34" s="146"/>
      <c r="B34" s="147"/>
      <c r="C34" s="148">
        <v>11.0</v>
      </c>
      <c r="D34" s="149">
        <v>12.0</v>
      </c>
      <c r="E34" s="150"/>
      <c r="F34" s="150"/>
      <c r="G34" s="151"/>
      <c r="H34" s="152">
        <v>13.0</v>
      </c>
      <c r="I34" s="150"/>
      <c r="J34" s="151"/>
      <c r="K34" s="153" t="s">
        <v>61</v>
      </c>
      <c r="L34" s="154"/>
      <c r="M34" s="155" t="s">
        <v>62</v>
      </c>
      <c r="N34" s="156" t="s">
        <v>63</v>
      </c>
      <c r="O34" s="152">
        <v>15.0</v>
      </c>
      <c r="P34" s="150"/>
      <c r="Q34" s="150"/>
      <c r="R34" s="150"/>
      <c r="S34" s="150"/>
      <c r="T34" s="150"/>
      <c r="U34" s="150"/>
      <c r="V34" s="151"/>
      <c r="W34" s="152">
        <v>16.0</v>
      </c>
      <c r="X34" s="157"/>
      <c r="Y34" s="147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  <c r="BV34" s="146"/>
      <c r="BW34" s="146"/>
      <c r="BX34" s="146"/>
      <c r="BY34" s="146"/>
      <c r="BZ34" s="146"/>
      <c r="CA34" s="146"/>
      <c r="CB34" s="146"/>
      <c r="CC34" s="146"/>
      <c r="CD34" s="146"/>
      <c r="CE34" s="146"/>
      <c r="CF34" s="146"/>
      <c r="CG34" s="146"/>
      <c r="CH34" s="146"/>
      <c r="CI34" s="146"/>
      <c r="CJ34" s="146"/>
      <c r="CK34" s="146"/>
      <c r="CL34" s="146"/>
      <c r="CM34" s="146"/>
      <c r="CN34" s="146"/>
      <c r="CO34" s="146"/>
      <c r="CP34" s="146"/>
      <c r="CQ34" s="146"/>
      <c r="CR34" s="146"/>
      <c r="CS34" s="146"/>
      <c r="CT34" s="146"/>
      <c r="CU34" s="146"/>
      <c r="CV34" s="146"/>
      <c r="CW34" s="146"/>
      <c r="CX34" s="146"/>
      <c r="CY34" s="146"/>
      <c r="CZ34" s="146"/>
      <c r="DA34" s="146"/>
      <c r="DB34" s="146"/>
      <c r="DC34" s="146"/>
      <c r="DD34" s="146"/>
      <c r="DE34" s="146"/>
      <c r="DF34" s="146"/>
      <c r="DG34" s="146"/>
      <c r="DH34" s="146"/>
      <c r="DI34" s="146"/>
      <c r="DJ34" s="146"/>
      <c r="DK34" s="146"/>
      <c r="DL34" s="146"/>
      <c r="DM34" s="146"/>
      <c r="DN34" s="146"/>
      <c r="DO34" s="146"/>
      <c r="DP34" s="146"/>
      <c r="DQ34" s="146"/>
      <c r="DR34" s="146"/>
      <c r="DS34" s="146"/>
      <c r="DT34" s="146"/>
      <c r="DU34" s="146"/>
      <c r="DV34" s="146"/>
      <c r="DW34" s="146"/>
      <c r="DX34" s="146"/>
      <c r="DY34" s="146"/>
      <c r="DZ34" s="146"/>
      <c r="EA34" s="146"/>
      <c r="EB34" s="146"/>
      <c r="EC34" s="146"/>
      <c r="ED34" s="146"/>
      <c r="EE34" s="146"/>
      <c r="EF34" s="146"/>
      <c r="EG34" s="146"/>
      <c r="EH34" s="146"/>
      <c r="EI34" s="146"/>
      <c r="EJ34" s="146"/>
      <c r="EK34" s="146"/>
      <c r="EL34" s="146"/>
      <c r="EM34" s="146"/>
      <c r="EN34" s="146"/>
      <c r="EO34" s="146"/>
      <c r="EP34" s="146"/>
      <c r="EQ34" s="146"/>
      <c r="ER34" s="146"/>
      <c r="ES34" s="146"/>
      <c r="ET34" s="146"/>
      <c r="EU34" s="146"/>
      <c r="EV34" s="146"/>
      <c r="EW34" s="146"/>
      <c r="EX34" s="146"/>
      <c r="EY34" s="146"/>
      <c r="EZ34" s="146"/>
      <c r="FA34" s="146"/>
      <c r="FB34" s="146"/>
      <c r="FC34" s="146"/>
      <c r="FD34" s="146"/>
      <c r="FE34" s="146"/>
      <c r="FF34" s="146"/>
      <c r="FG34" s="146"/>
      <c r="FH34" s="146"/>
      <c r="FI34" s="146"/>
      <c r="FJ34" s="146"/>
      <c r="FK34" s="146"/>
      <c r="FL34" s="146"/>
      <c r="FM34" s="146"/>
      <c r="FN34" s="146"/>
      <c r="FO34" s="146"/>
      <c r="FP34" s="146"/>
      <c r="FQ34" s="146"/>
      <c r="FR34" s="146"/>
      <c r="FS34" s="146"/>
      <c r="FT34" s="146"/>
      <c r="FU34" s="146"/>
      <c r="FV34" s="146"/>
      <c r="FW34" s="146"/>
      <c r="FX34" s="146"/>
      <c r="FY34" s="146"/>
      <c r="FZ34" s="146"/>
      <c r="GA34" s="146"/>
      <c r="GB34" s="146"/>
      <c r="GC34" s="146"/>
      <c r="GD34" s="146"/>
      <c r="GE34" s="146"/>
      <c r="GF34" s="146"/>
      <c r="GG34" s="146"/>
      <c r="GH34" s="146"/>
      <c r="GI34" s="146"/>
      <c r="GJ34" s="146"/>
      <c r="GK34" s="146"/>
      <c r="GL34" s="146"/>
      <c r="GM34" s="146"/>
      <c r="GN34" s="146"/>
      <c r="GO34" s="146"/>
      <c r="GP34" s="146"/>
      <c r="GQ34" s="146"/>
      <c r="GR34" s="146"/>
      <c r="GS34" s="146"/>
      <c r="GT34" s="146"/>
      <c r="GU34" s="146"/>
      <c r="GV34" s="146"/>
      <c r="GW34" s="146"/>
      <c r="GX34" s="146"/>
      <c r="GY34" s="146"/>
      <c r="GZ34" s="146"/>
      <c r="HA34" s="146"/>
      <c r="HB34" s="146"/>
      <c r="HC34" s="146"/>
      <c r="HD34" s="146"/>
      <c r="HE34" s="146"/>
      <c r="HF34" s="146"/>
      <c r="HG34" s="146"/>
      <c r="HH34" s="146"/>
      <c r="HI34" s="146"/>
      <c r="HJ34" s="146"/>
      <c r="HK34" s="146"/>
      <c r="HL34" s="146"/>
      <c r="HM34" s="146"/>
      <c r="HN34" s="146"/>
      <c r="HO34" s="146"/>
      <c r="HP34" s="146"/>
      <c r="HQ34" s="146"/>
      <c r="HR34" s="146"/>
      <c r="HS34" s="146"/>
      <c r="HT34" s="146"/>
      <c r="HU34" s="146"/>
      <c r="HV34" s="146"/>
      <c r="HW34" s="146"/>
      <c r="HX34" s="146"/>
      <c r="HY34" s="146"/>
      <c r="HZ34" s="146"/>
      <c r="IA34" s="146"/>
      <c r="IB34" s="146"/>
      <c r="IC34" s="146"/>
    </row>
    <row r="35" ht="16.5" customHeight="1">
      <c r="A35" s="146"/>
      <c r="B35" s="147"/>
      <c r="C35" s="158" t="str">
        <f>IF(O5="NACIONAL","TARIFA DIARIA","TARIFA DIARIA USD")</f>
        <v>TARIFA DIARIA</v>
      </c>
      <c r="D35" s="159" t="s">
        <v>64</v>
      </c>
      <c r="E35" s="112"/>
      <c r="F35" s="112"/>
      <c r="G35" s="160"/>
      <c r="H35" s="65" t="s">
        <v>65</v>
      </c>
      <c r="I35" s="63"/>
      <c r="J35" s="64"/>
      <c r="K35" s="161"/>
      <c r="L35" s="162" t="s">
        <v>66</v>
      </c>
      <c r="M35" s="163" t="s">
        <v>67</v>
      </c>
      <c r="N35" s="164" t="s">
        <v>68</v>
      </c>
      <c r="O35" s="65" t="s">
        <v>69</v>
      </c>
      <c r="P35" s="63"/>
      <c r="Q35" s="63"/>
      <c r="R35" s="63"/>
      <c r="S35" s="63"/>
      <c r="T35" s="63"/>
      <c r="U35" s="63"/>
      <c r="V35" s="64"/>
      <c r="W35" s="165" t="s">
        <v>70</v>
      </c>
      <c r="X35" s="166"/>
      <c r="Y35" s="147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146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46"/>
      <c r="CG35" s="146"/>
      <c r="CH35" s="146"/>
      <c r="CI35" s="146"/>
      <c r="CJ35" s="146"/>
      <c r="CK35" s="146"/>
      <c r="CL35" s="146"/>
      <c r="CM35" s="146"/>
      <c r="CN35" s="146"/>
      <c r="CO35" s="146"/>
      <c r="CP35" s="146"/>
      <c r="CQ35" s="146"/>
      <c r="CR35" s="146"/>
      <c r="CS35" s="146"/>
      <c r="CT35" s="146"/>
      <c r="CU35" s="146"/>
      <c r="CV35" s="146"/>
      <c r="CW35" s="146"/>
      <c r="CX35" s="146"/>
      <c r="CY35" s="146"/>
      <c r="CZ35" s="146"/>
      <c r="DA35" s="146"/>
      <c r="DB35" s="146"/>
      <c r="DC35" s="146"/>
      <c r="DD35" s="146"/>
      <c r="DE35" s="146"/>
      <c r="DF35" s="146"/>
      <c r="DG35" s="146"/>
      <c r="DH35" s="146"/>
      <c r="DI35" s="146"/>
      <c r="DJ35" s="146"/>
      <c r="DK35" s="146"/>
      <c r="DL35" s="146"/>
      <c r="DM35" s="146"/>
      <c r="DN35" s="146"/>
      <c r="DO35" s="146"/>
      <c r="DP35" s="146"/>
      <c r="DQ35" s="146"/>
      <c r="DR35" s="146"/>
      <c r="DS35" s="146"/>
      <c r="DT35" s="146"/>
      <c r="DU35" s="146"/>
      <c r="DV35" s="146"/>
      <c r="DW35" s="146"/>
      <c r="DX35" s="146"/>
      <c r="DY35" s="146"/>
      <c r="DZ35" s="146"/>
      <c r="EA35" s="146"/>
      <c r="EB35" s="146"/>
      <c r="EC35" s="146"/>
      <c r="ED35" s="146"/>
      <c r="EE35" s="146"/>
      <c r="EF35" s="146"/>
      <c r="EG35" s="146"/>
      <c r="EH35" s="146"/>
      <c r="EI35" s="146"/>
      <c r="EJ35" s="146"/>
      <c r="EK35" s="146"/>
      <c r="EL35" s="146"/>
      <c r="EM35" s="146"/>
      <c r="EN35" s="146"/>
      <c r="EO35" s="146"/>
      <c r="EP35" s="146"/>
      <c r="EQ35" s="146"/>
      <c r="ER35" s="146"/>
      <c r="ES35" s="146"/>
      <c r="ET35" s="146"/>
      <c r="EU35" s="146"/>
      <c r="EV35" s="146"/>
      <c r="EW35" s="146"/>
      <c r="EX35" s="146"/>
      <c r="EY35" s="146"/>
      <c r="EZ35" s="146"/>
      <c r="FA35" s="146"/>
      <c r="FB35" s="146"/>
      <c r="FC35" s="146"/>
      <c r="FD35" s="146"/>
      <c r="FE35" s="146"/>
      <c r="FF35" s="146"/>
      <c r="FG35" s="146"/>
      <c r="FH35" s="146"/>
      <c r="FI35" s="146"/>
      <c r="FJ35" s="146"/>
      <c r="FK35" s="146"/>
      <c r="FL35" s="146"/>
      <c r="FM35" s="146"/>
      <c r="FN35" s="146"/>
      <c r="FO35" s="146"/>
      <c r="FP35" s="146"/>
      <c r="FQ35" s="146"/>
      <c r="FR35" s="146"/>
      <c r="FS35" s="146"/>
      <c r="FT35" s="146"/>
      <c r="FU35" s="146"/>
      <c r="FV35" s="146"/>
      <c r="FW35" s="146"/>
      <c r="FX35" s="146"/>
      <c r="FY35" s="146"/>
      <c r="FZ35" s="146"/>
      <c r="GA35" s="146"/>
      <c r="GB35" s="146"/>
      <c r="GC35" s="146"/>
      <c r="GD35" s="146"/>
      <c r="GE35" s="146"/>
      <c r="GF35" s="146"/>
      <c r="GG35" s="146"/>
      <c r="GH35" s="146"/>
      <c r="GI35" s="146"/>
      <c r="GJ35" s="146"/>
      <c r="GK35" s="146"/>
      <c r="GL35" s="146"/>
      <c r="GM35" s="146"/>
      <c r="GN35" s="146"/>
      <c r="GO35" s="146"/>
      <c r="GP35" s="146"/>
      <c r="GQ35" s="146"/>
      <c r="GR35" s="146"/>
      <c r="GS35" s="146"/>
      <c r="GT35" s="146"/>
      <c r="GU35" s="146"/>
      <c r="GV35" s="146"/>
      <c r="GW35" s="146"/>
      <c r="GX35" s="146"/>
      <c r="GY35" s="146"/>
      <c r="GZ35" s="146"/>
      <c r="HA35" s="146"/>
      <c r="HB35" s="146"/>
      <c r="HC35" s="146"/>
      <c r="HD35" s="146"/>
      <c r="HE35" s="146"/>
      <c r="HF35" s="146"/>
      <c r="HG35" s="146"/>
      <c r="HH35" s="146"/>
      <c r="HI35" s="146"/>
      <c r="HJ35" s="146"/>
      <c r="HK35" s="146"/>
      <c r="HL35" s="146"/>
      <c r="HM35" s="146"/>
      <c r="HN35" s="146"/>
      <c r="HO35" s="146"/>
      <c r="HP35" s="146"/>
      <c r="HQ35" s="146"/>
      <c r="HR35" s="146"/>
      <c r="HS35" s="146"/>
      <c r="HT35" s="146"/>
      <c r="HU35" s="146"/>
      <c r="HV35" s="146"/>
      <c r="HW35" s="146"/>
      <c r="HX35" s="146"/>
      <c r="HY35" s="146"/>
      <c r="HZ35" s="146"/>
      <c r="IA35" s="146"/>
      <c r="IB35" s="146"/>
      <c r="IC35" s="146"/>
    </row>
    <row r="36" ht="18.0" customHeight="1">
      <c r="A36" s="146"/>
      <c r="B36" s="147"/>
      <c r="C36" s="167"/>
      <c r="D36" s="15"/>
      <c r="G36" s="168"/>
      <c r="H36" s="169" t="s">
        <v>71</v>
      </c>
      <c r="I36" s="169" t="s">
        <v>72</v>
      </c>
      <c r="J36" s="169" t="s">
        <v>73</v>
      </c>
      <c r="K36" s="161"/>
      <c r="L36" s="170"/>
      <c r="M36" s="170"/>
      <c r="N36" s="171"/>
      <c r="O36" s="172" t="s">
        <v>74</v>
      </c>
      <c r="P36" s="173"/>
      <c r="Q36" s="174" t="s">
        <v>75</v>
      </c>
      <c r="R36" s="175"/>
      <c r="S36" s="175"/>
      <c r="T36" s="176"/>
      <c r="U36" s="172" t="s">
        <v>76</v>
      </c>
      <c r="V36" s="173"/>
      <c r="W36" s="177"/>
      <c r="X36" s="178"/>
      <c r="Y36" s="179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6"/>
      <c r="CM36" s="146"/>
      <c r="CN36" s="146"/>
      <c r="CO36" s="146"/>
      <c r="CP36" s="146"/>
      <c r="CQ36" s="146"/>
      <c r="CR36" s="146"/>
      <c r="CS36" s="146"/>
      <c r="CT36" s="146"/>
      <c r="CU36" s="146"/>
      <c r="CV36" s="146"/>
      <c r="CW36" s="146"/>
      <c r="CX36" s="146"/>
      <c r="CY36" s="146"/>
      <c r="CZ36" s="146"/>
      <c r="DA36" s="146"/>
      <c r="DB36" s="146"/>
      <c r="DC36" s="146"/>
      <c r="DD36" s="146"/>
      <c r="DE36" s="146"/>
      <c r="DF36" s="146"/>
      <c r="DG36" s="146"/>
      <c r="DH36" s="146"/>
      <c r="DI36" s="146"/>
      <c r="DJ36" s="146"/>
      <c r="DK36" s="146"/>
      <c r="DL36" s="146"/>
      <c r="DM36" s="146"/>
      <c r="DN36" s="146"/>
      <c r="DO36" s="146"/>
      <c r="DP36" s="146"/>
      <c r="DQ36" s="146"/>
      <c r="DR36" s="146"/>
      <c r="DS36" s="146"/>
      <c r="DT36" s="146"/>
      <c r="DU36" s="146"/>
      <c r="DV36" s="146"/>
      <c r="DW36" s="146"/>
      <c r="DX36" s="146"/>
      <c r="DY36" s="146"/>
      <c r="DZ36" s="146"/>
      <c r="EA36" s="146"/>
      <c r="EB36" s="146"/>
      <c r="EC36" s="146"/>
      <c r="ED36" s="146"/>
      <c r="EE36" s="146"/>
      <c r="EF36" s="146"/>
      <c r="EG36" s="146"/>
      <c r="EH36" s="146"/>
      <c r="EI36" s="146"/>
      <c r="EJ36" s="146"/>
      <c r="EK36" s="146"/>
      <c r="EL36" s="146"/>
      <c r="EM36" s="146"/>
      <c r="EN36" s="146"/>
      <c r="EO36" s="146"/>
      <c r="EP36" s="146"/>
      <c r="EQ36" s="146"/>
      <c r="ER36" s="146"/>
      <c r="ES36" s="146"/>
      <c r="ET36" s="146"/>
      <c r="EU36" s="146"/>
      <c r="EV36" s="146"/>
      <c r="EW36" s="146"/>
      <c r="EX36" s="146"/>
      <c r="EY36" s="146"/>
      <c r="EZ36" s="146"/>
      <c r="FA36" s="146"/>
      <c r="FB36" s="146"/>
      <c r="FC36" s="146"/>
      <c r="FD36" s="146"/>
      <c r="FE36" s="146"/>
      <c r="FF36" s="146"/>
      <c r="FG36" s="146"/>
      <c r="FH36" s="146"/>
      <c r="FI36" s="146"/>
      <c r="FJ36" s="146"/>
      <c r="FK36" s="146"/>
      <c r="FL36" s="146"/>
      <c r="FM36" s="146"/>
      <c r="FN36" s="146"/>
      <c r="FO36" s="146"/>
      <c r="FP36" s="146"/>
      <c r="FQ36" s="146"/>
      <c r="FR36" s="146"/>
      <c r="FS36" s="146"/>
      <c r="FT36" s="146"/>
      <c r="FU36" s="146"/>
      <c r="FV36" s="146"/>
      <c r="FW36" s="146"/>
      <c r="FX36" s="146"/>
      <c r="FY36" s="146"/>
      <c r="FZ36" s="146"/>
      <c r="GA36" s="146"/>
      <c r="GB36" s="146"/>
      <c r="GC36" s="146"/>
      <c r="GD36" s="146"/>
      <c r="GE36" s="146"/>
      <c r="GF36" s="146"/>
      <c r="GG36" s="146"/>
      <c r="GH36" s="146"/>
      <c r="GI36" s="146"/>
      <c r="GJ36" s="146"/>
      <c r="GK36" s="146"/>
      <c r="GL36" s="146"/>
      <c r="GM36" s="146"/>
      <c r="GN36" s="146"/>
      <c r="GO36" s="146"/>
      <c r="GP36" s="146"/>
      <c r="GQ36" s="146"/>
      <c r="GR36" s="146"/>
      <c r="GS36" s="146"/>
      <c r="GT36" s="146"/>
      <c r="GU36" s="146"/>
      <c r="GV36" s="146"/>
      <c r="GW36" s="146"/>
      <c r="GX36" s="146"/>
      <c r="GY36" s="146"/>
      <c r="GZ36" s="146"/>
      <c r="HA36" s="146"/>
      <c r="HB36" s="146"/>
      <c r="HC36" s="146"/>
      <c r="HD36" s="146"/>
      <c r="HE36" s="146"/>
      <c r="HF36" s="146"/>
      <c r="HG36" s="146"/>
      <c r="HH36" s="146"/>
      <c r="HI36" s="146"/>
      <c r="HJ36" s="146"/>
      <c r="HK36" s="146"/>
      <c r="HL36" s="146"/>
      <c r="HM36" s="146"/>
      <c r="HN36" s="146"/>
      <c r="HO36" s="146"/>
      <c r="HP36" s="146"/>
      <c r="HQ36" s="146"/>
      <c r="HR36" s="146"/>
      <c r="HS36" s="146"/>
      <c r="HT36" s="146"/>
      <c r="HU36" s="146"/>
      <c r="HV36" s="146"/>
      <c r="HW36" s="146"/>
      <c r="HX36" s="146"/>
      <c r="HY36" s="146"/>
      <c r="HZ36" s="146"/>
      <c r="IA36" s="146"/>
      <c r="IB36" s="146"/>
      <c r="IC36" s="146"/>
    </row>
    <row r="37" ht="24.75" customHeight="1">
      <c r="A37" s="146"/>
      <c r="B37" s="147"/>
      <c r="C37" s="180"/>
      <c r="D37" s="181"/>
      <c r="E37" s="182"/>
      <c r="F37" s="182"/>
      <c r="G37" s="183"/>
      <c r="H37" s="184"/>
      <c r="I37" s="184"/>
      <c r="J37" s="184"/>
      <c r="K37" s="185"/>
      <c r="L37" s="186"/>
      <c r="M37" s="186"/>
      <c r="N37" s="187"/>
      <c r="O37" s="188"/>
      <c r="P37" s="183"/>
      <c r="Q37" s="189" t="s">
        <v>77</v>
      </c>
      <c r="R37" s="190" t="s">
        <v>78</v>
      </c>
      <c r="S37" s="191" t="s">
        <v>79</v>
      </c>
      <c r="T37" s="192" t="s">
        <v>80</v>
      </c>
      <c r="U37" s="188"/>
      <c r="V37" s="183"/>
      <c r="W37" s="193"/>
      <c r="X37" s="194"/>
      <c r="Y37" s="179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BP37" s="146"/>
      <c r="BQ37" s="146"/>
      <c r="BR37" s="146"/>
      <c r="BS37" s="146"/>
      <c r="BT37" s="146"/>
      <c r="BU37" s="146"/>
      <c r="BV37" s="146"/>
      <c r="BW37" s="146"/>
      <c r="BX37" s="146"/>
      <c r="BY37" s="146"/>
      <c r="BZ37" s="146"/>
      <c r="CA37" s="146"/>
      <c r="CB37" s="146"/>
      <c r="CC37" s="146"/>
      <c r="CD37" s="146"/>
      <c r="CE37" s="146"/>
      <c r="CF37" s="146"/>
      <c r="CG37" s="146"/>
      <c r="CH37" s="146"/>
      <c r="CI37" s="146"/>
      <c r="CJ37" s="146"/>
      <c r="CK37" s="146"/>
      <c r="CL37" s="146"/>
      <c r="CM37" s="146"/>
      <c r="CN37" s="146"/>
      <c r="CO37" s="146"/>
      <c r="CP37" s="146"/>
      <c r="CQ37" s="146"/>
      <c r="CR37" s="146"/>
      <c r="CS37" s="146"/>
      <c r="CT37" s="146"/>
      <c r="CU37" s="146"/>
      <c r="CV37" s="146"/>
      <c r="CW37" s="146"/>
      <c r="CX37" s="146"/>
      <c r="CY37" s="146"/>
      <c r="CZ37" s="146"/>
      <c r="DA37" s="146"/>
      <c r="DB37" s="146"/>
      <c r="DC37" s="146"/>
      <c r="DD37" s="146"/>
      <c r="DE37" s="146"/>
      <c r="DF37" s="146"/>
      <c r="DG37" s="146"/>
      <c r="DH37" s="146"/>
      <c r="DI37" s="146"/>
      <c r="DJ37" s="146"/>
      <c r="DK37" s="146"/>
      <c r="DL37" s="146"/>
      <c r="DM37" s="146"/>
      <c r="DN37" s="146"/>
      <c r="DO37" s="146"/>
      <c r="DP37" s="146"/>
      <c r="DQ37" s="146"/>
      <c r="DR37" s="146"/>
      <c r="DS37" s="146"/>
      <c r="DT37" s="146"/>
      <c r="DU37" s="146"/>
      <c r="DV37" s="146"/>
      <c r="DW37" s="146"/>
      <c r="DX37" s="146"/>
      <c r="DY37" s="146"/>
      <c r="DZ37" s="146"/>
      <c r="EA37" s="146"/>
      <c r="EB37" s="146"/>
      <c r="EC37" s="146"/>
      <c r="ED37" s="146"/>
      <c r="EE37" s="146"/>
      <c r="EF37" s="146"/>
      <c r="EG37" s="146"/>
      <c r="EH37" s="146"/>
      <c r="EI37" s="146"/>
      <c r="EJ37" s="146"/>
      <c r="EK37" s="146"/>
      <c r="EL37" s="146"/>
      <c r="EM37" s="146"/>
      <c r="EN37" s="146"/>
      <c r="EO37" s="146"/>
      <c r="EP37" s="146"/>
      <c r="EQ37" s="146"/>
      <c r="ER37" s="146"/>
      <c r="ES37" s="146"/>
      <c r="ET37" s="146"/>
      <c r="EU37" s="146"/>
      <c r="EV37" s="146"/>
      <c r="EW37" s="146"/>
      <c r="EX37" s="146"/>
      <c r="EY37" s="146"/>
      <c r="EZ37" s="146"/>
      <c r="FA37" s="146"/>
      <c r="FB37" s="146"/>
      <c r="FC37" s="146"/>
      <c r="FD37" s="146"/>
      <c r="FE37" s="146"/>
      <c r="FF37" s="146"/>
      <c r="FG37" s="146"/>
      <c r="FH37" s="146"/>
      <c r="FI37" s="146"/>
      <c r="FJ37" s="146"/>
      <c r="FK37" s="146"/>
      <c r="FL37" s="146"/>
      <c r="FM37" s="146"/>
      <c r="FN37" s="146"/>
      <c r="FO37" s="146"/>
      <c r="FP37" s="146"/>
      <c r="FQ37" s="146"/>
      <c r="FR37" s="146"/>
      <c r="FS37" s="146"/>
      <c r="FT37" s="146"/>
      <c r="FU37" s="146"/>
      <c r="FV37" s="146"/>
      <c r="FW37" s="146"/>
      <c r="FX37" s="146"/>
      <c r="FY37" s="146"/>
      <c r="FZ37" s="146"/>
      <c r="GA37" s="146"/>
      <c r="GB37" s="146"/>
      <c r="GC37" s="146"/>
      <c r="GD37" s="146"/>
      <c r="GE37" s="146"/>
      <c r="GF37" s="146"/>
      <c r="GG37" s="146"/>
      <c r="GH37" s="146"/>
      <c r="GI37" s="146"/>
      <c r="GJ37" s="146"/>
      <c r="GK37" s="146"/>
      <c r="GL37" s="146"/>
      <c r="GM37" s="146"/>
      <c r="GN37" s="146"/>
      <c r="GO37" s="146"/>
      <c r="GP37" s="146"/>
      <c r="GQ37" s="146"/>
      <c r="GR37" s="146"/>
      <c r="GS37" s="146"/>
      <c r="GT37" s="146"/>
      <c r="GU37" s="146"/>
      <c r="GV37" s="146"/>
      <c r="GW37" s="146"/>
      <c r="GX37" s="146"/>
      <c r="GY37" s="146"/>
      <c r="GZ37" s="146"/>
      <c r="HA37" s="146"/>
      <c r="HB37" s="146"/>
      <c r="HC37" s="146"/>
      <c r="HD37" s="146"/>
      <c r="HE37" s="146"/>
      <c r="HF37" s="146"/>
      <c r="HG37" s="146"/>
      <c r="HH37" s="146"/>
      <c r="HI37" s="146"/>
      <c r="HJ37" s="146"/>
      <c r="HK37" s="146"/>
      <c r="HL37" s="146"/>
      <c r="HM37" s="146"/>
      <c r="HN37" s="146"/>
      <c r="HO37" s="146"/>
      <c r="HP37" s="146"/>
      <c r="HQ37" s="146"/>
      <c r="HR37" s="146"/>
      <c r="HS37" s="146"/>
      <c r="HT37" s="146"/>
      <c r="HU37" s="146"/>
      <c r="HV37" s="146"/>
      <c r="HW37" s="146"/>
      <c r="HX37" s="146"/>
      <c r="HY37" s="146"/>
      <c r="HZ37" s="146"/>
      <c r="IA37" s="146"/>
      <c r="IB37" s="146"/>
      <c r="IC37" s="146"/>
    </row>
    <row r="38" ht="16.5" customHeight="1">
      <c r="A38" s="1"/>
      <c r="B38" s="3"/>
      <c r="C38" s="195"/>
      <c r="D38" s="196"/>
      <c r="E38" s="28"/>
      <c r="F38" s="28"/>
      <c r="G38" s="78"/>
      <c r="H38" s="197"/>
      <c r="I38" s="197"/>
      <c r="J38" s="198" t="str">
        <f>IF(H38=0," ",IF((I38-H38)&gt;=0,(I38-H38+1),(I38-H38+(VLOOKUP($C$19,DATA!J$2:K$13,2,0)+1))))</f>
        <v> </v>
      </c>
      <c r="K38" s="197"/>
      <c r="L38" s="199" t="str">
        <f t="shared" ref="L38:L49" si="1">IF(J38=" "," ",(IF(K38="no","50%","100"%)))</f>
        <v> </v>
      </c>
      <c r="M38" s="200">
        <f t="shared" ref="M38:M45" si="2">IF(OR(K38="NO",K38=0),0,+(IF(J38=1,0,IF(H38=0," ",IF(J38=1,(C38/2),IF($K38="si",((C38*(J38-1))/2),C38*$J38/2))))))</f>
        <v>0</v>
      </c>
      <c r="N38" s="201" t="str">
        <f t="shared" ref="N38:N45" si="3">IF(H38=0," ",IF(J38=1,(C38/2),IF($K38="si",((C38*J38)/2),C38*$J38/2)))</f>
        <v> </v>
      </c>
      <c r="O38" s="202"/>
      <c r="P38" s="78"/>
      <c r="Q38" s="203"/>
      <c r="R38" s="204"/>
      <c r="S38" s="205"/>
      <c r="T38" s="206"/>
      <c r="U38" s="202"/>
      <c r="V38" s="78"/>
      <c r="W38" s="207">
        <f t="shared" ref="W38:W45" si="4">+IFERROR(IF(C38=" "," ",(IF($O$5="NACIONAL",IF(AND(H38=0,O38=0,T38=0,U38=0,N38=0)," ",IF(H38=0,(N38+O38+T38+U38),(M38+N38+O38+T38+U38))),IF(AND(H38=0,O38=0,T38=0,U38=0,N38=0)," ",IF(H38=0,(N38+O38+T38+U38),(((M38)*$M$25)+(N38)*$M$25)+O38+T38+U38))))),0)</f>
        <v>0</v>
      </c>
      <c r="X38" s="208"/>
      <c r="Y38" s="209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</row>
    <row r="39" ht="16.5" customHeight="1">
      <c r="A39" s="1"/>
      <c r="B39" s="3"/>
      <c r="C39" s="195"/>
      <c r="D39" s="196"/>
      <c r="E39" s="28"/>
      <c r="F39" s="28"/>
      <c r="G39" s="78"/>
      <c r="H39" s="197"/>
      <c r="I39" s="197"/>
      <c r="J39" s="198" t="str">
        <f>IF(H39=0," ",IF((I39-H39)&gt;=0,(I39-H39+1),(I39-H39+(VLOOKUP($C$19,DATA!J$2:K$13,2,0)+1))))</f>
        <v> </v>
      </c>
      <c r="K39" s="197"/>
      <c r="L39" s="199" t="str">
        <f t="shared" si="1"/>
        <v> </v>
      </c>
      <c r="M39" s="200">
        <f t="shared" si="2"/>
        <v>0</v>
      </c>
      <c r="N39" s="201" t="str">
        <f t="shared" si="3"/>
        <v> </v>
      </c>
      <c r="O39" s="202"/>
      <c r="P39" s="78"/>
      <c r="Q39" s="197"/>
      <c r="R39" s="204">
        <f t="shared" ref="R39:R45" si="5">+IF(Q39="CARRO",1923,IF(Q39="MOTO",577.4,0))</f>
        <v>0</v>
      </c>
      <c r="S39" s="210"/>
      <c r="T39" s="206">
        <f t="shared" ref="T39:T49" si="6">R39*S39</f>
        <v>0</v>
      </c>
      <c r="U39" s="202"/>
      <c r="V39" s="78"/>
      <c r="W39" s="207">
        <f t="shared" si="4"/>
        <v>0</v>
      </c>
      <c r="X39" s="208"/>
      <c r="Y39" s="209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</row>
    <row r="40" ht="16.5" customHeight="1">
      <c r="A40" s="1"/>
      <c r="B40" s="3"/>
      <c r="C40" s="195"/>
      <c r="D40" s="196"/>
      <c r="E40" s="28"/>
      <c r="F40" s="28"/>
      <c r="G40" s="78"/>
      <c r="H40" s="197"/>
      <c r="I40" s="197"/>
      <c r="J40" s="198" t="str">
        <f>IF(H40=0," ",IF((I40-H40)&gt;=0,(I40-H40+1),(I40-H40+(VLOOKUP($C$19,DATA!J$2:K$13,2,0)+1))))</f>
        <v> </v>
      </c>
      <c r="K40" s="197"/>
      <c r="L40" s="199" t="str">
        <f t="shared" si="1"/>
        <v> </v>
      </c>
      <c r="M40" s="200">
        <f t="shared" si="2"/>
        <v>0</v>
      </c>
      <c r="N40" s="201" t="str">
        <f t="shared" si="3"/>
        <v> </v>
      </c>
      <c r="O40" s="202"/>
      <c r="P40" s="78"/>
      <c r="Q40" s="197"/>
      <c r="R40" s="204">
        <f t="shared" si="5"/>
        <v>0</v>
      </c>
      <c r="S40" s="210"/>
      <c r="T40" s="206">
        <f t="shared" si="6"/>
        <v>0</v>
      </c>
      <c r="U40" s="202"/>
      <c r="V40" s="78"/>
      <c r="W40" s="207">
        <f t="shared" si="4"/>
        <v>0</v>
      </c>
      <c r="X40" s="208"/>
      <c r="Y40" s="209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</row>
    <row r="41" ht="16.5" customHeight="1">
      <c r="A41" s="1"/>
      <c r="B41" s="3"/>
      <c r="C41" s="195"/>
      <c r="D41" s="196"/>
      <c r="E41" s="28"/>
      <c r="F41" s="28"/>
      <c r="G41" s="78"/>
      <c r="H41" s="197"/>
      <c r="I41" s="197"/>
      <c r="J41" s="198" t="str">
        <f>IF(H41=0," ",IF((I41-H41)&gt;=0,(I41-H41+1),(I41-H41+(VLOOKUP($C$19,DATA!J$2:K$13,2,0)+1))))</f>
        <v> </v>
      </c>
      <c r="K41" s="197"/>
      <c r="L41" s="199" t="str">
        <f t="shared" si="1"/>
        <v> </v>
      </c>
      <c r="M41" s="200">
        <f t="shared" si="2"/>
        <v>0</v>
      </c>
      <c r="N41" s="201" t="str">
        <f t="shared" si="3"/>
        <v> </v>
      </c>
      <c r="O41" s="202"/>
      <c r="P41" s="78"/>
      <c r="Q41" s="197"/>
      <c r="R41" s="204">
        <f t="shared" si="5"/>
        <v>0</v>
      </c>
      <c r="S41" s="210"/>
      <c r="T41" s="206">
        <f t="shared" si="6"/>
        <v>0</v>
      </c>
      <c r="U41" s="202"/>
      <c r="V41" s="78"/>
      <c r="W41" s="207">
        <f t="shared" si="4"/>
        <v>0</v>
      </c>
      <c r="X41" s="208"/>
      <c r="Y41" s="209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</row>
    <row r="42" ht="16.5" customHeight="1">
      <c r="A42" s="1"/>
      <c r="B42" s="3"/>
      <c r="C42" s="195"/>
      <c r="D42" s="196"/>
      <c r="E42" s="28"/>
      <c r="F42" s="28"/>
      <c r="G42" s="78"/>
      <c r="H42" s="197"/>
      <c r="I42" s="197"/>
      <c r="J42" s="198" t="str">
        <f>IF(H42=0," ",IF((I42-H42)&gt;=0,(I42-H42+1),(I42-H42+(VLOOKUP($C$19,DATA!J$2:K$13,2,0)+1))))</f>
        <v> </v>
      </c>
      <c r="K42" s="197"/>
      <c r="L42" s="199" t="str">
        <f t="shared" si="1"/>
        <v> </v>
      </c>
      <c r="M42" s="200">
        <f t="shared" si="2"/>
        <v>0</v>
      </c>
      <c r="N42" s="201" t="str">
        <f t="shared" si="3"/>
        <v> </v>
      </c>
      <c r="O42" s="202"/>
      <c r="P42" s="78"/>
      <c r="Q42" s="197"/>
      <c r="R42" s="204">
        <f t="shared" si="5"/>
        <v>0</v>
      </c>
      <c r="S42" s="210"/>
      <c r="T42" s="206">
        <f t="shared" si="6"/>
        <v>0</v>
      </c>
      <c r="U42" s="202"/>
      <c r="V42" s="78"/>
      <c r="W42" s="207">
        <f t="shared" si="4"/>
        <v>0</v>
      </c>
      <c r="X42" s="208"/>
      <c r="Y42" s="209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</row>
    <row r="43" ht="16.5" customHeight="1">
      <c r="A43" s="1"/>
      <c r="B43" s="3"/>
      <c r="C43" s="195"/>
      <c r="D43" s="196"/>
      <c r="E43" s="28"/>
      <c r="F43" s="28"/>
      <c r="G43" s="78"/>
      <c r="H43" s="197"/>
      <c r="I43" s="197"/>
      <c r="J43" s="198" t="str">
        <f>IF(H43=0," ",IF((I43-H43)&gt;=0,(I43-H43+1),(I43-H43+(VLOOKUP($C$19,DATA!J$2:K$13,2,0)+1))))</f>
        <v> </v>
      </c>
      <c r="K43" s="197"/>
      <c r="L43" s="199" t="str">
        <f t="shared" si="1"/>
        <v> </v>
      </c>
      <c r="M43" s="200">
        <f t="shared" si="2"/>
        <v>0</v>
      </c>
      <c r="N43" s="201" t="str">
        <f t="shared" si="3"/>
        <v> </v>
      </c>
      <c r="O43" s="202"/>
      <c r="P43" s="78"/>
      <c r="Q43" s="197"/>
      <c r="R43" s="204">
        <f t="shared" si="5"/>
        <v>0</v>
      </c>
      <c r="S43" s="210"/>
      <c r="T43" s="206">
        <f t="shared" si="6"/>
        <v>0</v>
      </c>
      <c r="U43" s="202"/>
      <c r="V43" s="78"/>
      <c r="W43" s="207">
        <f t="shared" si="4"/>
        <v>0</v>
      </c>
      <c r="X43" s="208"/>
      <c r="Y43" s="209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</row>
    <row r="44" ht="16.5" customHeight="1">
      <c r="A44" s="1"/>
      <c r="B44" s="3"/>
      <c r="C44" s="195"/>
      <c r="D44" s="196"/>
      <c r="E44" s="28"/>
      <c r="F44" s="28"/>
      <c r="G44" s="78"/>
      <c r="H44" s="197"/>
      <c r="I44" s="197"/>
      <c r="J44" s="198" t="str">
        <f>IF(H44=0," ",IF((I44-H44)&gt;=0,(I44-H44+1),(I44-H44+(VLOOKUP($C$19,DATA!J$2:K$13,2,0)+1))))</f>
        <v> </v>
      </c>
      <c r="K44" s="197"/>
      <c r="L44" s="199" t="str">
        <f t="shared" si="1"/>
        <v> </v>
      </c>
      <c r="M44" s="200">
        <f t="shared" si="2"/>
        <v>0</v>
      </c>
      <c r="N44" s="201" t="str">
        <f t="shared" si="3"/>
        <v> </v>
      </c>
      <c r="O44" s="202"/>
      <c r="P44" s="78"/>
      <c r="Q44" s="197"/>
      <c r="R44" s="204">
        <f t="shared" si="5"/>
        <v>0</v>
      </c>
      <c r="S44" s="210"/>
      <c r="T44" s="206">
        <f t="shared" si="6"/>
        <v>0</v>
      </c>
      <c r="U44" s="202"/>
      <c r="V44" s="78"/>
      <c r="W44" s="207">
        <f t="shared" si="4"/>
        <v>0</v>
      </c>
      <c r="X44" s="208"/>
      <c r="Y44" s="209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</row>
    <row r="45" ht="16.5" customHeight="1">
      <c r="A45" s="1"/>
      <c r="B45" s="3"/>
      <c r="C45" s="211"/>
      <c r="D45" s="212"/>
      <c r="E45" s="63"/>
      <c r="F45" s="63"/>
      <c r="G45" s="66"/>
      <c r="H45" s="213"/>
      <c r="I45" s="213"/>
      <c r="J45" s="214" t="str">
        <f>IF(H45=0," ",IF((I45-H45)&gt;=0,(I45-H45+1),(I45-H45+(VLOOKUP($C$19,DATA!J$2:K$13,2,0)+1))))</f>
        <v> </v>
      </c>
      <c r="K45" s="213"/>
      <c r="L45" s="215" t="str">
        <f t="shared" si="1"/>
        <v> </v>
      </c>
      <c r="M45" s="216">
        <f t="shared" si="2"/>
        <v>0</v>
      </c>
      <c r="N45" s="217" t="str">
        <f t="shared" si="3"/>
        <v> </v>
      </c>
      <c r="O45" s="218"/>
      <c r="P45" s="66"/>
      <c r="Q45" s="213"/>
      <c r="R45" s="204">
        <f t="shared" si="5"/>
        <v>0</v>
      </c>
      <c r="S45" s="219"/>
      <c r="T45" s="220">
        <f t="shared" si="6"/>
        <v>0</v>
      </c>
      <c r="U45" s="218"/>
      <c r="V45" s="66"/>
      <c r="W45" s="221">
        <f t="shared" si="4"/>
        <v>0</v>
      </c>
      <c r="X45" s="178"/>
      <c r="Y45" s="209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</row>
    <row r="46" ht="17.25" customHeight="1">
      <c r="A46" s="1"/>
      <c r="B46" s="3"/>
      <c r="C46" s="222" t="s">
        <v>81</v>
      </c>
      <c r="D46" s="223" t="s">
        <v>82</v>
      </c>
      <c r="E46" s="224"/>
      <c r="F46" s="224"/>
      <c r="G46" s="225"/>
      <c r="H46" s="226">
        <v>21.0</v>
      </c>
      <c r="I46" s="226">
        <v>21.0</v>
      </c>
      <c r="J46" s="227">
        <f>IF(H46=0," ",IF((I46-H46)&gt;=0,(I46-H46+1),(I46-H46+(VLOOKUP($C$19,DATA!J$2:K$13,2,0)+1))))</f>
        <v>1</v>
      </c>
      <c r="K46" s="228"/>
      <c r="L46" s="229">
        <f t="shared" si="1"/>
        <v>1</v>
      </c>
      <c r="M46" s="230">
        <v>18000.0</v>
      </c>
      <c r="N46" s="231"/>
      <c r="O46" s="232"/>
      <c r="P46" s="225"/>
      <c r="Q46" s="231" t="s">
        <v>83</v>
      </c>
      <c r="R46" s="233">
        <v>1923.0</v>
      </c>
      <c r="S46" s="234">
        <v>68.0</v>
      </c>
      <c r="T46" s="227">
        <f t="shared" si="6"/>
        <v>130764</v>
      </c>
      <c r="U46" s="235"/>
      <c r="V46" s="225"/>
      <c r="W46" s="236">
        <f t="shared" ref="W46:W49" si="7">+IFERROR(IF(C46=" "," ",(IF($O$5="NACIONAL",IF(AND(H46=0,M46=0,O46=0,T46=0,U46=0,N46=0)," ",IF(H46=0,(M46+N46+O46+T46+U46),(M46+N46+O46+T46+U46))),IF(AND(H46=0,M46=0,O46=0,T46=0,U46=0,N46=0)," ",IF(H46=0,((M46)*$M$25+N46+O46+T46+U46),(((M46)*$M$25)+(N46)*$M$25)+O46+T46+U46))))),0)</f>
        <v>148764</v>
      </c>
      <c r="X46" s="237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</row>
    <row r="47" ht="17.25" customHeight="1">
      <c r="A47" s="1"/>
      <c r="B47" s="3"/>
      <c r="C47" s="167"/>
      <c r="D47" s="238"/>
      <c r="E47" s="48"/>
      <c r="F47" s="48"/>
      <c r="G47" s="59"/>
      <c r="H47" s="239"/>
      <c r="I47" s="239"/>
      <c r="J47" s="198" t="str">
        <f>IF(H47=0," ",IF((I47-H47)&gt;=0,(I47-H47+1),(I47-H47+(VLOOKUP($C$19,DATA!J$2:K$13,2,0)+1))))</f>
        <v> </v>
      </c>
      <c r="K47" s="240"/>
      <c r="L47" s="241" t="str">
        <f t="shared" si="1"/>
        <v> </v>
      </c>
      <c r="M47" s="242"/>
      <c r="N47" s="243"/>
      <c r="O47" s="244"/>
      <c r="P47" s="59"/>
      <c r="Q47" s="243"/>
      <c r="R47" s="245"/>
      <c r="S47" s="246"/>
      <c r="T47" s="198">
        <f t="shared" si="6"/>
        <v>0</v>
      </c>
      <c r="U47" s="247"/>
      <c r="V47" s="59"/>
      <c r="W47" s="248" t="str">
        <f t="shared" si="7"/>
        <v> </v>
      </c>
      <c r="X47" s="249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</row>
    <row r="48" ht="17.25" customHeight="1">
      <c r="A48" s="1"/>
      <c r="B48" s="3"/>
      <c r="C48" s="167"/>
      <c r="D48" s="238"/>
      <c r="E48" s="48"/>
      <c r="F48" s="48"/>
      <c r="G48" s="59"/>
      <c r="H48" s="239"/>
      <c r="I48" s="239"/>
      <c r="J48" s="198" t="str">
        <f>IF(H48=0," ",IF((I48-H48)&gt;=0,(I48-H48+1),(I48-H48+(VLOOKUP($C$19,DATA!J$2:K$13,2,0)+1))))</f>
        <v> </v>
      </c>
      <c r="K48" s="240"/>
      <c r="L48" s="241" t="str">
        <f t="shared" si="1"/>
        <v> </v>
      </c>
      <c r="M48" s="242"/>
      <c r="N48" s="243"/>
      <c r="O48" s="244"/>
      <c r="P48" s="59"/>
      <c r="Q48" s="243"/>
      <c r="R48" s="245"/>
      <c r="S48" s="246"/>
      <c r="T48" s="198">
        <f t="shared" si="6"/>
        <v>0</v>
      </c>
      <c r="U48" s="247"/>
      <c r="V48" s="59"/>
      <c r="W48" s="248" t="str">
        <f t="shared" si="7"/>
        <v> </v>
      </c>
      <c r="X48" s="249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</row>
    <row r="49" ht="17.25" customHeight="1">
      <c r="A49" s="1"/>
      <c r="B49" s="3"/>
      <c r="C49" s="250"/>
      <c r="D49" s="251"/>
      <c r="E49" s="252"/>
      <c r="F49" s="252"/>
      <c r="G49" s="253"/>
      <c r="H49" s="254"/>
      <c r="I49" s="254"/>
      <c r="J49" s="255" t="str">
        <f>IF(H49=0," ",IF((I49-H49)&gt;=0,(I49-H49+1),(I49-H49+(VLOOKUP($C$19,DATA!J$2:K$13,2,0)+1))))</f>
        <v> </v>
      </c>
      <c r="K49" s="256"/>
      <c r="L49" s="257" t="str">
        <f t="shared" si="1"/>
        <v> </v>
      </c>
      <c r="M49" s="258"/>
      <c r="N49" s="259"/>
      <c r="O49" s="260"/>
      <c r="P49" s="253"/>
      <c r="Q49" s="261"/>
      <c r="R49" s="262"/>
      <c r="S49" s="263"/>
      <c r="T49" s="255">
        <f t="shared" si="6"/>
        <v>0</v>
      </c>
      <c r="U49" s="264"/>
      <c r="V49" s="253"/>
      <c r="W49" s="265" t="str">
        <f t="shared" si="7"/>
        <v> </v>
      </c>
      <c r="X49" s="266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</row>
    <row r="50" ht="18.0" customHeight="1">
      <c r="A50" s="267"/>
      <c r="B50" s="268"/>
      <c r="C50" s="268"/>
      <c r="D50" s="207" t="s">
        <v>84</v>
      </c>
      <c r="E50" s="19"/>
      <c r="F50" s="19"/>
      <c r="G50" s="19"/>
      <c r="H50" s="19"/>
      <c r="I50" s="21"/>
      <c r="J50" s="269">
        <f>IF(SUM(J38:J49)=0," ",SUM(J38:J49))</f>
        <v>1</v>
      </c>
      <c r="K50" s="270"/>
      <c r="L50" s="271">
        <f>IF(O5="NACIONAL",IF(SUM(M38:N49)=0," ",SUM(M38:N49)),IF(SUM(M38:N49)=0," ",(SUM(M38:N49))*$M$25))</f>
        <v>18000</v>
      </c>
      <c r="N50" s="16"/>
      <c r="O50" s="272" t="str">
        <f>IF(SUM(O38:P49)=0," ",SUM(O38:P49))</f>
        <v> </v>
      </c>
      <c r="P50" s="21"/>
      <c r="Q50" s="273"/>
      <c r="R50" s="269"/>
      <c r="S50" s="272">
        <f>IF(SUM(T38:T49)=0," ",SUM(T38:T49))</f>
        <v>130764</v>
      </c>
      <c r="T50" s="21"/>
      <c r="U50" s="207" t="str">
        <f>IF(SUM(U38:V49)=0," ",SUM(U38:V49))</f>
        <v> </v>
      </c>
      <c r="V50" s="21"/>
      <c r="W50" s="272">
        <f>IF(SUM(W38:X49)=0," ",SUM(W38:X49))</f>
        <v>148764</v>
      </c>
      <c r="X50" s="21"/>
      <c r="Y50" s="268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67"/>
      <c r="AK50" s="267"/>
      <c r="AL50" s="267"/>
      <c r="AM50" s="267"/>
      <c r="AN50" s="267"/>
      <c r="AO50" s="267"/>
      <c r="AP50" s="267"/>
      <c r="AQ50" s="267"/>
      <c r="AR50" s="267"/>
      <c r="AS50" s="267"/>
      <c r="AT50" s="267"/>
      <c r="AU50" s="267"/>
      <c r="AV50" s="267"/>
      <c r="AW50" s="267"/>
      <c r="AX50" s="267"/>
      <c r="AY50" s="267"/>
      <c r="AZ50" s="267"/>
      <c r="BA50" s="267"/>
      <c r="BB50" s="267"/>
      <c r="BC50" s="267"/>
      <c r="BD50" s="267"/>
      <c r="BE50" s="267"/>
      <c r="BF50" s="267"/>
      <c r="BG50" s="267"/>
      <c r="BH50" s="267"/>
      <c r="BI50" s="267"/>
      <c r="BJ50" s="267"/>
      <c r="BK50" s="267"/>
      <c r="BL50" s="267"/>
      <c r="BM50" s="267"/>
      <c r="BN50" s="267"/>
      <c r="BO50" s="267"/>
      <c r="BP50" s="267"/>
      <c r="BQ50" s="267"/>
      <c r="BR50" s="267"/>
      <c r="BS50" s="267"/>
      <c r="BT50" s="267"/>
      <c r="BU50" s="267"/>
      <c r="BV50" s="267"/>
      <c r="BW50" s="267"/>
      <c r="BX50" s="267"/>
      <c r="BY50" s="267"/>
      <c r="BZ50" s="267"/>
      <c r="CA50" s="267"/>
      <c r="CB50" s="267"/>
      <c r="CC50" s="267"/>
      <c r="CD50" s="267"/>
      <c r="CE50" s="267"/>
      <c r="CF50" s="267"/>
      <c r="CG50" s="267"/>
      <c r="CH50" s="267"/>
      <c r="CI50" s="267"/>
      <c r="CJ50" s="267"/>
      <c r="CK50" s="267"/>
      <c r="CL50" s="267"/>
      <c r="CM50" s="267"/>
      <c r="CN50" s="267"/>
      <c r="CO50" s="267"/>
      <c r="CP50" s="267"/>
      <c r="CQ50" s="267"/>
      <c r="CR50" s="267"/>
      <c r="CS50" s="267"/>
      <c r="CT50" s="267"/>
      <c r="CU50" s="267"/>
      <c r="CV50" s="267"/>
      <c r="CW50" s="267"/>
      <c r="CX50" s="267"/>
      <c r="CY50" s="267"/>
      <c r="CZ50" s="267"/>
      <c r="DA50" s="267"/>
      <c r="DB50" s="267"/>
      <c r="DC50" s="267"/>
      <c r="DD50" s="267"/>
      <c r="DE50" s="267"/>
      <c r="DF50" s="267"/>
      <c r="DG50" s="267"/>
      <c r="DH50" s="267"/>
      <c r="DI50" s="267"/>
      <c r="DJ50" s="267"/>
      <c r="DK50" s="267"/>
      <c r="DL50" s="267"/>
      <c r="DM50" s="267"/>
      <c r="DN50" s="267"/>
      <c r="DO50" s="267"/>
      <c r="DP50" s="267"/>
      <c r="DQ50" s="267"/>
      <c r="DR50" s="267"/>
      <c r="DS50" s="267"/>
      <c r="DT50" s="267"/>
      <c r="DU50" s="267"/>
      <c r="DV50" s="267"/>
      <c r="DW50" s="267"/>
      <c r="DX50" s="267"/>
      <c r="DY50" s="267"/>
      <c r="DZ50" s="267"/>
      <c r="EA50" s="267"/>
      <c r="EB50" s="267"/>
      <c r="EC50" s="267"/>
      <c r="ED50" s="267"/>
      <c r="EE50" s="267"/>
      <c r="EF50" s="267"/>
      <c r="EG50" s="267"/>
      <c r="EH50" s="267"/>
      <c r="EI50" s="267"/>
      <c r="EJ50" s="267"/>
      <c r="EK50" s="267"/>
      <c r="EL50" s="267"/>
      <c r="EM50" s="267"/>
      <c r="EN50" s="267"/>
      <c r="EO50" s="267"/>
      <c r="EP50" s="267"/>
      <c r="EQ50" s="267"/>
      <c r="ER50" s="267"/>
      <c r="ES50" s="267"/>
      <c r="ET50" s="267"/>
      <c r="EU50" s="267"/>
      <c r="EV50" s="267"/>
      <c r="EW50" s="267"/>
      <c r="EX50" s="267"/>
      <c r="EY50" s="267"/>
      <c r="EZ50" s="267"/>
      <c r="FA50" s="267"/>
      <c r="FB50" s="267"/>
      <c r="FC50" s="267"/>
      <c r="FD50" s="267"/>
      <c r="FE50" s="267"/>
      <c r="FF50" s="267"/>
      <c r="FG50" s="267"/>
      <c r="FH50" s="267"/>
      <c r="FI50" s="267"/>
      <c r="FJ50" s="267"/>
      <c r="FK50" s="267"/>
      <c r="FL50" s="267"/>
      <c r="FM50" s="267"/>
      <c r="FN50" s="267"/>
      <c r="FO50" s="267"/>
      <c r="FP50" s="267"/>
      <c r="FQ50" s="267"/>
      <c r="FR50" s="267"/>
      <c r="FS50" s="267"/>
      <c r="FT50" s="267"/>
      <c r="FU50" s="267"/>
      <c r="FV50" s="267"/>
      <c r="FW50" s="267"/>
      <c r="FX50" s="267"/>
      <c r="FY50" s="267"/>
      <c r="FZ50" s="267"/>
      <c r="GA50" s="267"/>
      <c r="GB50" s="267"/>
      <c r="GC50" s="267"/>
      <c r="GD50" s="267"/>
      <c r="GE50" s="267"/>
      <c r="GF50" s="267"/>
      <c r="GG50" s="267"/>
      <c r="GH50" s="267"/>
      <c r="GI50" s="267"/>
      <c r="GJ50" s="267"/>
      <c r="GK50" s="267"/>
      <c r="GL50" s="267"/>
      <c r="GM50" s="267"/>
      <c r="GN50" s="267"/>
      <c r="GO50" s="267"/>
      <c r="GP50" s="267"/>
      <c r="GQ50" s="267"/>
      <c r="GR50" s="267"/>
      <c r="GS50" s="267"/>
      <c r="GT50" s="267"/>
      <c r="GU50" s="267"/>
      <c r="GV50" s="267"/>
      <c r="GW50" s="267"/>
      <c r="GX50" s="267"/>
      <c r="GY50" s="267"/>
      <c r="GZ50" s="267"/>
      <c r="HA50" s="267"/>
      <c r="HB50" s="267"/>
      <c r="HC50" s="267"/>
      <c r="HD50" s="267"/>
      <c r="HE50" s="267"/>
      <c r="HF50" s="267"/>
      <c r="HG50" s="267"/>
      <c r="HH50" s="267"/>
      <c r="HI50" s="267"/>
      <c r="HJ50" s="267"/>
      <c r="HK50" s="267"/>
      <c r="HL50" s="267"/>
      <c r="HM50" s="267"/>
      <c r="HN50" s="267"/>
      <c r="HO50" s="267"/>
      <c r="HP50" s="267"/>
      <c r="HQ50" s="267"/>
      <c r="HR50" s="267"/>
      <c r="HS50" s="267"/>
      <c r="HT50" s="267"/>
      <c r="HU50" s="267"/>
      <c r="HV50" s="267"/>
      <c r="HW50" s="267"/>
      <c r="HX50" s="267"/>
      <c r="HY50" s="267"/>
      <c r="HZ50" s="267"/>
      <c r="IA50" s="267"/>
      <c r="IB50" s="1"/>
      <c r="IC50" s="1"/>
    </row>
    <row r="51" ht="17.25" customHeight="1">
      <c r="A51" s="1"/>
      <c r="B51" s="3"/>
      <c r="C51" s="3"/>
      <c r="D51" s="274">
        <v>17.0</v>
      </c>
      <c r="E51" s="275" t="s">
        <v>85</v>
      </c>
      <c r="F51" s="83"/>
      <c r="G51" s="83"/>
      <c r="H51" s="83"/>
      <c r="I51" s="83"/>
      <c r="J51" s="99"/>
      <c r="K51" s="276"/>
      <c r="L51" s="277">
        <f>IF(SUM(L50)=0," ",IF(((SUM(L50)-Y52))&lt;0,"0",(SUM(L50)-Y52)))</f>
        <v>18000</v>
      </c>
      <c r="M51" s="278"/>
      <c r="N51" s="279"/>
      <c r="O51" s="280"/>
      <c r="P51" s="281"/>
      <c r="Q51" s="282"/>
      <c r="R51" s="54"/>
      <c r="S51" s="283"/>
      <c r="T51" s="283"/>
      <c r="U51" s="284"/>
      <c r="V51" s="284"/>
      <c r="W51" s="283"/>
      <c r="X51" s="283"/>
      <c r="Y51" s="285" t="s">
        <v>86</v>
      </c>
      <c r="Z51" s="59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</row>
    <row r="52" ht="17.25" customHeight="1">
      <c r="A52" s="1"/>
      <c r="B52" s="3"/>
      <c r="C52" s="3"/>
      <c r="D52" s="286"/>
      <c r="E52" s="287" t="s">
        <v>87</v>
      </c>
      <c r="F52" s="72"/>
      <c r="G52" s="72"/>
      <c r="H52" s="72"/>
      <c r="I52" s="72"/>
      <c r="J52" s="288"/>
      <c r="K52" s="289"/>
      <c r="L52" s="290"/>
      <c r="M52" s="291"/>
      <c r="N52" s="292"/>
      <c r="O52" s="293"/>
      <c r="P52" s="282"/>
      <c r="Q52" s="282"/>
      <c r="R52" s="54"/>
      <c r="S52" s="283"/>
      <c r="T52" s="283"/>
      <c r="U52" s="284"/>
      <c r="V52" s="284"/>
      <c r="W52" s="283"/>
      <c r="X52" s="283"/>
      <c r="Y52" s="294">
        <f>IF(O5="EXTERIOR",SUM('RELACION FACTURAS'!G40+'RELACION FACTURAS'!G58),SUM('RELACION FACTURAS'!G40))</f>
        <v>0</v>
      </c>
      <c r="Z52" s="59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</row>
    <row r="53" ht="17.25" customHeight="1">
      <c r="A53" s="1"/>
      <c r="B53" s="3"/>
      <c r="C53" s="3"/>
      <c r="D53" s="295"/>
      <c r="E53" s="296"/>
      <c r="F53" s="296"/>
      <c r="G53" s="296"/>
      <c r="H53" s="296"/>
      <c r="I53" s="296"/>
      <c r="J53" s="296"/>
      <c r="K53" s="297"/>
      <c r="L53" s="297"/>
      <c r="M53" s="298"/>
      <c r="N53" s="298"/>
      <c r="O53" s="298"/>
      <c r="P53" s="54"/>
      <c r="Q53" s="54"/>
      <c r="R53" s="283"/>
      <c r="S53" s="283"/>
      <c r="T53" s="284"/>
      <c r="U53" s="284"/>
      <c r="V53" s="283"/>
      <c r="W53" s="283"/>
      <c r="X53" s="283"/>
      <c r="Y53" s="299"/>
      <c r="Z53" s="37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</row>
    <row r="54" ht="32.25" customHeight="1">
      <c r="A54" s="1"/>
      <c r="B54" s="3"/>
      <c r="C54" s="300" t="s">
        <v>88</v>
      </c>
      <c r="D54" s="137"/>
      <c r="E54" s="34"/>
      <c r="F54" s="301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8"/>
      <c r="Y54" s="299"/>
      <c r="Z54" s="96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</row>
    <row r="55" ht="10.5" customHeight="1">
      <c r="A55" s="1"/>
      <c r="B55" s="3"/>
      <c r="C55" s="3"/>
      <c r="D55" s="54"/>
      <c r="E55" s="54"/>
      <c r="F55" s="54"/>
      <c r="G55" s="54"/>
      <c r="H55" s="54"/>
      <c r="I55" s="54"/>
      <c r="J55" s="54"/>
      <c r="K55" s="302"/>
      <c r="L55" s="302"/>
      <c r="M55" s="302"/>
      <c r="N55" s="302"/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6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</row>
    <row r="56" ht="6.0" customHeight="1">
      <c r="A56" s="1"/>
      <c r="B56" s="3"/>
      <c r="C56" s="3"/>
      <c r="D56" s="3"/>
      <c r="E56" s="303"/>
      <c r="F56" s="303"/>
      <c r="G56" s="303"/>
      <c r="H56" s="303"/>
      <c r="I56" s="303"/>
      <c r="J56" s="303"/>
      <c r="K56" s="38"/>
      <c r="L56" s="38"/>
      <c r="M56" s="38"/>
      <c r="N56" s="38"/>
      <c r="O56" s="38"/>
      <c r="P56" s="38"/>
      <c r="Q56" s="38"/>
      <c r="R56" s="304"/>
      <c r="V56" s="305"/>
      <c r="Y56" s="3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</row>
    <row r="57" ht="15.75" customHeight="1">
      <c r="A57" s="306"/>
      <c r="B57" s="38"/>
      <c r="C57" s="84">
        <v>18.0</v>
      </c>
      <c r="D57" s="83"/>
      <c r="E57" s="83"/>
      <c r="F57" s="83"/>
      <c r="G57" s="83"/>
      <c r="H57" s="83"/>
      <c r="I57" s="83"/>
      <c r="J57" s="26"/>
      <c r="K57" s="38"/>
      <c r="L57" s="84">
        <v>19.0</v>
      </c>
      <c r="M57" s="83"/>
      <c r="N57" s="83"/>
      <c r="O57" s="26"/>
      <c r="P57" s="38"/>
      <c r="Q57" s="38"/>
      <c r="R57" s="38"/>
      <c r="S57" s="38"/>
      <c r="T57" s="38"/>
      <c r="U57" s="305"/>
      <c r="V57" s="307"/>
      <c r="W57" s="308"/>
      <c r="X57" s="38"/>
      <c r="Y57" s="309"/>
      <c r="Z57" s="306"/>
      <c r="AA57" s="306"/>
      <c r="AB57" s="306"/>
      <c r="AC57" s="306"/>
      <c r="AD57" s="306"/>
      <c r="AE57" s="306"/>
      <c r="AF57" s="306"/>
      <c r="AG57" s="306"/>
      <c r="AH57" s="306"/>
      <c r="AI57" s="306"/>
      <c r="AJ57" s="306"/>
      <c r="AK57" s="306"/>
      <c r="AL57" s="306"/>
      <c r="AM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306"/>
      <c r="BF57" s="306"/>
      <c r="BG57" s="306"/>
      <c r="BH57" s="306"/>
      <c r="BI57" s="306"/>
      <c r="BJ57" s="306"/>
      <c r="BK57" s="306"/>
      <c r="BL57" s="306"/>
      <c r="BM57" s="306"/>
      <c r="BN57" s="306"/>
      <c r="BO57" s="306"/>
      <c r="BP57" s="306"/>
      <c r="BQ57" s="306"/>
      <c r="BR57" s="306"/>
      <c r="BS57" s="306"/>
      <c r="BT57" s="306"/>
      <c r="BU57" s="306"/>
      <c r="BV57" s="306"/>
      <c r="BW57" s="306"/>
      <c r="BX57" s="306"/>
      <c r="BY57" s="306"/>
      <c r="BZ57" s="306"/>
      <c r="CA57" s="306"/>
      <c r="CB57" s="306"/>
      <c r="CC57" s="306"/>
      <c r="CD57" s="306"/>
      <c r="CE57" s="306"/>
      <c r="CF57" s="306"/>
      <c r="CG57" s="306"/>
      <c r="CH57" s="306"/>
      <c r="CI57" s="306"/>
      <c r="CJ57" s="306"/>
      <c r="CK57" s="306"/>
      <c r="CL57" s="306"/>
      <c r="CM57" s="306"/>
      <c r="CN57" s="306"/>
      <c r="CO57" s="306"/>
      <c r="CP57" s="306"/>
      <c r="CQ57" s="306"/>
      <c r="CR57" s="306"/>
      <c r="CS57" s="30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306"/>
      <c r="FM57" s="306"/>
      <c r="FN57" s="306"/>
      <c r="FO57" s="306"/>
      <c r="FP57" s="306"/>
      <c r="FQ57" s="306"/>
      <c r="FR57" s="306"/>
      <c r="FS57" s="306"/>
      <c r="FT57" s="306"/>
      <c r="FU57" s="306"/>
      <c r="FV57" s="306"/>
      <c r="FW57" s="306"/>
      <c r="FX57" s="306"/>
      <c r="FY57" s="306"/>
      <c r="FZ57" s="306"/>
      <c r="GA57" s="306"/>
      <c r="GB57" s="306"/>
      <c r="GC57" s="306"/>
      <c r="GD57" s="306"/>
      <c r="GE57" s="306"/>
      <c r="GF57" s="306"/>
      <c r="GG57" s="306"/>
      <c r="GH57" s="306"/>
      <c r="GI57" s="306"/>
      <c r="GJ57" s="306"/>
      <c r="GK57" s="306"/>
      <c r="GL57" s="306"/>
      <c r="GM57" s="306"/>
      <c r="GN57" s="306"/>
      <c r="GO57" s="306"/>
      <c r="GP57" s="306"/>
      <c r="GQ57" s="306"/>
      <c r="GR57" s="306"/>
      <c r="GS57" s="306"/>
      <c r="GT57" s="306"/>
      <c r="GU57" s="306"/>
      <c r="GV57" s="306"/>
      <c r="GW57" s="306"/>
      <c r="GX57" s="306"/>
      <c r="GY57" s="306"/>
      <c r="GZ57" s="306"/>
      <c r="HA57" s="306"/>
      <c r="HB57" s="306"/>
      <c r="HC57" s="306"/>
      <c r="HD57" s="306"/>
      <c r="HE57" s="306"/>
      <c r="HF57" s="306"/>
      <c r="HG57" s="306"/>
      <c r="HH57" s="306"/>
      <c r="HI57" s="306"/>
      <c r="HJ57" s="306"/>
      <c r="HK57" s="306"/>
      <c r="HL57" s="306"/>
      <c r="HM57" s="306"/>
      <c r="HN57" s="306"/>
      <c r="HO57" s="306"/>
      <c r="HP57" s="306"/>
      <c r="HQ57" s="306"/>
      <c r="HR57" s="306"/>
      <c r="HS57" s="306"/>
      <c r="HT57" s="306"/>
      <c r="HU57" s="306"/>
      <c r="HV57" s="306"/>
      <c r="HW57" s="306"/>
      <c r="HX57" s="306"/>
      <c r="HY57" s="306"/>
      <c r="HZ57" s="306"/>
      <c r="IA57" s="306"/>
      <c r="IB57" s="306"/>
      <c r="IC57" s="306"/>
    </row>
    <row r="58" ht="10.5" customHeight="1">
      <c r="A58" s="306"/>
      <c r="B58" s="38"/>
      <c r="C58" s="62" t="s">
        <v>89</v>
      </c>
      <c r="D58" s="63"/>
      <c r="E58" s="63"/>
      <c r="F58" s="63"/>
      <c r="G58" s="63"/>
      <c r="H58" s="63"/>
      <c r="I58" s="63"/>
      <c r="J58" s="66"/>
      <c r="K58" s="38"/>
      <c r="L58" s="310" t="s">
        <v>90</v>
      </c>
      <c r="M58" s="112"/>
      <c r="N58" s="112"/>
      <c r="O58" s="113"/>
      <c r="P58" s="311"/>
      <c r="X58" s="38"/>
      <c r="Y58" s="309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  <c r="BH58" s="306"/>
      <c r="BI58" s="306"/>
      <c r="BJ58" s="306"/>
      <c r="BK58" s="306"/>
      <c r="BL58" s="306"/>
      <c r="BM58" s="306"/>
      <c r="BN58" s="306"/>
      <c r="BO58" s="306"/>
      <c r="BP58" s="306"/>
      <c r="BQ58" s="306"/>
      <c r="BR58" s="306"/>
      <c r="BS58" s="306"/>
      <c r="BT58" s="306"/>
      <c r="BU58" s="306"/>
      <c r="BV58" s="306"/>
      <c r="BW58" s="306"/>
      <c r="BX58" s="306"/>
      <c r="BY58" s="306"/>
      <c r="BZ58" s="306"/>
      <c r="CA58" s="306"/>
      <c r="CB58" s="306"/>
      <c r="CC58" s="306"/>
      <c r="CD58" s="306"/>
      <c r="CE58" s="306"/>
      <c r="CF58" s="306"/>
      <c r="CG58" s="306"/>
      <c r="CH58" s="306"/>
      <c r="CI58" s="306"/>
      <c r="CJ58" s="306"/>
      <c r="CK58" s="306"/>
      <c r="CL58" s="306"/>
      <c r="CM58" s="306"/>
      <c r="CN58" s="306"/>
      <c r="CO58" s="306"/>
      <c r="CP58" s="306"/>
      <c r="CQ58" s="306"/>
      <c r="CR58" s="306"/>
      <c r="CS58" s="306"/>
      <c r="CT58" s="306"/>
      <c r="CU58" s="306"/>
      <c r="CV58" s="306"/>
      <c r="CW58" s="306"/>
      <c r="CX58" s="306"/>
      <c r="CY58" s="306"/>
      <c r="CZ58" s="306"/>
      <c r="DA58" s="306"/>
      <c r="DB58" s="306"/>
      <c r="DC58" s="306"/>
      <c r="DD58" s="306"/>
      <c r="DE58" s="306"/>
      <c r="DF58" s="306"/>
      <c r="DG58" s="306"/>
      <c r="DH58" s="306"/>
      <c r="DI58" s="306"/>
      <c r="DJ58" s="306"/>
      <c r="DK58" s="306"/>
      <c r="DL58" s="306"/>
      <c r="DM58" s="306"/>
      <c r="DN58" s="306"/>
      <c r="DO58" s="306"/>
      <c r="DP58" s="306"/>
      <c r="DQ58" s="306"/>
      <c r="DR58" s="306"/>
      <c r="DS58" s="306"/>
      <c r="DT58" s="306"/>
      <c r="DU58" s="306"/>
      <c r="DV58" s="306"/>
      <c r="DW58" s="306"/>
      <c r="DX58" s="306"/>
      <c r="DY58" s="306"/>
      <c r="DZ58" s="306"/>
      <c r="EA58" s="306"/>
      <c r="EB58" s="306"/>
      <c r="EC58" s="306"/>
      <c r="ED58" s="306"/>
      <c r="EE58" s="306"/>
      <c r="EF58" s="306"/>
      <c r="EG58" s="306"/>
      <c r="EH58" s="306"/>
      <c r="EI58" s="306"/>
      <c r="EJ58" s="306"/>
      <c r="EK58" s="306"/>
      <c r="EL58" s="306"/>
      <c r="EM58" s="306"/>
      <c r="EN58" s="306"/>
      <c r="EO58" s="306"/>
      <c r="EP58" s="306"/>
      <c r="EQ58" s="306"/>
      <c r="ER58" s="306"/>
      <c r="ES58" s="306"/>
      <c r="ET58" s="306"/>
      <c r="EU58" s="306"/>
      <c r="EV58" s="306"/>
      <c r="EW58" s="306"/>
      <c r="EX58" s="306"/>
      <c r="EY58" s="306"/>
      <c r="EZ58" s="306"/>
      <c r="FA58" s="306"/>
      <c r="FB58" s="306"/>
      <c r="FC58" s="306"/>
      <c r="FD58" s="306"/>
      <c r="FE58" s="306"/>
      <c r="FF58" s="306"/>
      <c r="FG58" s="306"/>
      <c r="FH58" s="306"/>
      <c r="FI58" s="306"/>
      <c r="FJ58" s="306"/>
      <c r="FK58" s="306"/>
      <c r="FL58" s="306"/>
      <c r="FM58" s="306"/>
      <c r="FN58" s="306"/>
      <c r="FO58" s="306"/>
      <c r="FP58" s="306"/>
      <c r="FQ58" s="306"/>
      <c r="FR58" s="306"/>
      <c r="FS58" s="306"/>
      <c r="FT58" s="306"/>
      <c r="FU58" s="306"/>
      <c r="FV58" s="306"/>
      <c r="FW58" s="306"/>
      <c r="FX58" s="306"/>
      <c r="FY58" s="306"/>
      <c r="FZ58" s="306"/>
      <c r="GA58" s="306"/>
      <c r="GB58" s="306"/>
      <c r="GC58" s="306"/>
      <c r="GD58" s="306"/>
      <c r="GE58" s="306"/>
      <c r="GF58" s="306"/>
      <c r="GG58" s="306"/>
      <c r="GH58" s="306"/>
      <c r="GI58" s="306"/>
      <c r="GJ58" s="306"/>
      <c r="GK58" s="306"/>
      <c r="GL58" s="306"/>
      <c r="GM58" s="306"/>
      <c r="GN58" s="306"/>
      <c r="GO58" s="306"/>
      <c r="GP58" s="306"/>
      <c r="GQ58" s="306"/>
      <c r="GR58" s="306"/>
      <c r="GS58" s="306"/>
      <c r="GT58" s="306"/>
      <c r="GU58" s="306"/>
      <c r="GV58" s="306"/>
      <c r="GW58" s="306"/>
      <c r="GX58" s="306"/>
      <c r="GY58" s="306"/>
      <c r="GZ58" s="306"/>
      <c r="HA58" s="306"/>
      <c r="HB58" s="306"/>
      <c r="HC58" s="306"/>
      <c r="HD58" s="306"/>
      <c r="HE58" s="306"/>
      <c r="HF58" s="306"/>
      <c r="HG58" s="306"/>
      <c r="HH58" s="306"/>
      <c r="HI58" s="306"/>
      <c r="HJ58" s="306"/>
      <c r="HK58" s="306"/>
      <c r="HL58" s="306"/>
      <c r="HM58" s="306"/>
      <c r="HN58" s="306"/>
      <c r="HO58" s="306"/>
      <c r="HP58" s="306"/>
      <c r="HQ58" s="306"/>
      <c r="HR58" s="306"/>
      <c r="HS58" s="306"/>
      <c r="HT58" s="306"/>
      <c r="HU58" s="306"/>
      <c r="HV58" s="306"/>
      <c r="HW58" s="306"/>
      <c r="HX58" s="306"/>
      <c r="HY58" s="306"/>
      <c r="HZ58" s="306"/>
      <c r="IA58" s="306"/>
      <c r="IB58" s="306"/>
      <c r="IC58" s="306"/>
    </row>
    <row r="59" ht="15.75" customHeight="1">
      <c r="A59" s="1"/>
      <c r="B59" s="3"/>
      <c r="C59" s="312" t="s">
        <v>91</v>
      </c>
      <c r="D59" s="115"/>
      <c r="E59" s="115"/>
      <c r="F59" s="116"/>
      <c r="G59" s="313" t="s">
        <v>92</v>
      </c>
      <c r="H59" s="115"/>
      <c r="I59" s="115"/>
      <c r="J59" s="314"/>
      <c r="K59" s="179"/>
      <c r="L59" s="18"/>
      <c r="M59" s="19"/>
      <c r="N59" s="19"/>
      <c r="O59" s="21"/>
      <c r="P59" s="3"/>
      <c r="Q59" s="3"/>
      <c r="R59" s="3"/>
      <c r="S59" s="3"/>
      <c r="T59" s="315"/>
      <c r="U59" s="316"/>
      <c r="V59" s="317"/>
      <c r="W59" s="38"/>
      <c r="X59" s="3"/>
      <c r="Y59" s="6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</row>
    <row r="60" ht="16.5" customHeight="1">
      <c r="A60" s="1"/>
      <c r="B60" s="3"/>
      <c r="C60" s="318" t="str">
        <f>IF((L60)&lt;0,"X"," ")</f>
        <v> </v>
      </c>
      <c r="D60" s="48"/>
      <c r="E60" s="48"/>
      <c r="F60" s="59"/>
      <c r="G60" s="318" t="str">
        <f>IF(L60&gt;0,"X"," ")</f>
        <v>X</v>
      </c>
      <c r="H60" s="48"/>
      <c r="I60" s="48"/>
      <c r="J60" s="59"/>
      <c r="K60" s="3"/>
      <c r="L60" s="319">
        <f>IF(O5="NACIONAL",(SUM(W38:X49))-(SUM(S25:X29)-S30),(SUM(W38:X49))-(SUM(P25:R29)-P30))</f>
        <v>148764</v>
      </c>
      <c r="M60" s="48"/>
      <c r="N60" s="48"/>
      <c r="O60" s="59"/>
      <c r="P60" s="3"/>
      <c r="Q60" s="3"/>
      <c r="R60" s="3"/>
      <c r="S60" s="3"/>
      <c r="T60" s="320"/>
      <c r="U60" s="316"/>
      <c r="V60" s="317"/>
      <c r="W60" s="38"/>
      <c r="X60" s="3"/>
      <c r="Y60" s="6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</row>
    <row r="61" ht="15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</row>
    <row r="62" ht="24.75" customHeight="1">
      <c r="A62" s="1"/>
      <c r="B62" s="3"/>
      <c r="C62" s="321" t="s">
        <v>93</v>
      </c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9"/>
      <c r="Y62" s="6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</row>
    <row r="63" ht="13.5" customHeight="1">
      <c r="A63" s="1"/>
      <c r="B63" s="3"/>
      <c r="C63" s="322" t="s">
        <v>94</v>
      </c>
      <c r="X63" s="178"/>
      <c r="Y63" s="6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</row>
    <row r="64" ht="14.25" customHeight="1">
      <c r="A64" s="1"/>
      <c r="B64" s="3"/>
      <c r="C64" s="323" t="s">
        <v>95</v>
      </c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2"/>
      <c r="Y64" s="6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</row>
    <row r="65" ht="17.25" customHeight="1">
      <c r="A65" s="324"/>
      <c r="B65" s="284"/>
      <c r="C65" s="325" t="s">
        <v>96</v>
      </c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326" t="s">
        <v>97</v>
      </c>
      <c r="O65" s="150"/>
      <c r="P65" s="150"/>
      <c r="Q65" s="150"/>
      <c r="R65" s="150"/>
      <c r="S65" s="150"/>
      <c r="T65" s="150"/>
      <c r="U65" s="150"/>
      <c r="V65" s="150"/>
      <c r="W65" s="150"/>
      <c r="X65" s="157"/>
      <c r="Y65" s="327"/>
      <c r="Z65" s="324"/>
      <c r="AA65" s="324"/>
      <c r="AB65" s="324"/>
      <c r="AC65" s="324"/>
      <c r="AD65" s="324"/>
      <c r="AE65" s="324"/>
      <c r="AF65" s="324"/>
      <c r="AG65" s="324"/>
      <c r="AH65" s="324"/>
      <c r="AI65" s="324"/>
      <c r="AJ65" s="324"/>
      <c r="AK65" s="324"/>
      <c r="AL65" s="324"/>
      <c r="AM65" s="324"/>
      <c r="AN65" s="324"/>
      <c r="AO65" s="324"/>
      <c r="AP65" s="324"/>
      <c r="AQ65" s="324"/>
      <c r="AR65" s="324"/>
      <c r="AS65" s="324"/>
      <c r="AT65" s="324"/>
      <c r="AU65" s="324"/>
      <c r="AV65" s="324"/>
      <c r="AW65" s="324"/>
      <c r="AX65" s="324"/>
      <c r="AY65" s="324"/>
      <c r="AZ65" s="324"/>
      <c r="BA65" s="324"/>
      <c r="BB65" s="324"/>
      <c r="BC65" s="324"/>
      <c r="BD65" s="324"/>
      <c r="BE65" s="324"/>
      <c r="BF65" s="324"/>
      <c r="BG65" s="324"/>
      <c r="BH65" s="324"/>
      <c r="BI65" s="324"/>
      <c r="BJ65" s="324"/>
      <c r="BK65" s="324"/>
      <c r="BL65" s="324"/>
      <c r="BM65" s="324"/>
      <c r="BN65" s="324"/>
      <c r="BO65" s="324"/>
      <c r="BP65" s="324"/>
      <c r="BQ65" s="324"/>
      <c r="BR65" s="324"/>
      <c r="BS65" s="324"/>
      <c r="BT65" s="324"/>
      <c r="BU65" s="324"/>
      <c r="BV65" s="324"/>
      <c r="BW65" s="324"/>
      <c r="BX65" s="324"/>
      <c r="BY65" s="324"/>
      <c r="BZ65" s="324"/>
      <c r="CA65" s="324"/>
      <c r="CB65" s="324"/>
      <c r="CC65" s="324"/>
      <c r="CD65" s="324"/>
      <c r="CE65" s="324"/>
      <c r="CF65" s="324"/>
      <c r="CG65" s="324"/>
      <c r="CH65" s="324"/>
      <c r="CI65" s="324"/>
      <c r="CJ65" s="324"/>
      <c r="CK65" s="324"/>
      <c r="CL65" s="324"/>
      <c r="CM65" s="324"/>
      <c r="CN65" s="324"/>
      <c r="CO65" s="324"/>
      <c r="CP65" s="324"/>
      <c r="CQ65" s="324"/>
      <c r="CR65" s="324"/>
      <c r="CS65" s="324"/>
      <c r="CT65" s="324"/>
      <c r="CU65" s="324"/>
      <c r="CV65" s="324"/>
      <c r="CW65" s="324"/>
      <c r="CX65" s="324"/>
      <c r="CY65" s="324"/>
      <c r="CZ65" s="324"/>
      <c r="DA65" s="324"/>
      <c r="DB65" s="324"/>
      <c r="DC65" s="324"/>
      <c r="DD65" s="324"/>
      <c r="DE65" s="324"/>
      <c r="DF65" s="324"/>
      <c r="DG65" s="324"/>
      <c r="DH65" s="324"/>
      <c r="DI65" s="324"/>
      <c r="DJ65" s="324"/>
      <c r="DK65" s="324"/>
      <c r="DL65" s="324"/>
      <c r="DM65" s="324"/>
      <c r="DN65" s="324"/>
      <c r="DO65" s="324"/>
      <c r="DP65" s="324"/>
      <c r="DQ65" s="324"/>
      <c r="DR65" s="324"/>
      <c r="DS65" s="324"/>
      <c r="DT65" s="324"/>
      <c r="DU65" s="324"/>
      <c r="DV65" s="324"/>
      <c r="DW65" s="324"/>
      <c r="DX65" s="324"/>
      <c r="DY65" s="324"/>
      <c r="DZ65" s="324"/>
      <c r="EA65" s="324"/>
      <c r="EB65" s="324"/>
      <c r="EC65" s="324"/>
      <c r="ED65" s="324"/>
      <c r="EE65" s="324"/>
      <c r="EF65" s="324"/>
      <c r="EG65" s="324"/>
      <c r="EH65" s="324"/>
      <c r="EI65" s="324"/>
      <c r="EJ65" s="324"/>
      <c r="EK65" s="324"/>
      <c r="EL65" s="324"/>
      <c r="EM65" s="324"/>
      <c r="EN65" s="324"/>
      <c r="EO65" s="324"/>
      <c r="EP65" s="324"/>
      <c r="EQ65" s="324"/>
      <c r="ER65" s="324"/>
      <c r="ES65" s="324"/>
      <c r="ET65" s="324"/>
      <c r="EU65" s="324"/>
      <c r="EV65" s="324"/>
      <c r="EW65" s="324"/>
      <c r="EX65" s="324"/>
      <c r="EY65" s="324"/>
      <c r="EZ65" s="324"/>
      <c r="FA65" s="324"/>
      <c r="FB65" s="324"/>
      <c r="FC65" s="324"/>
      <c r="FD65" s="324"/>
      <c r="FE65" s="324"/>
      <c r="FF65" s="324"/>
      <c r="FG65" s="324"/>
      <c r="FH65" s="324"/>
      <c r="FI65" s="324"/>
      <c r="FJ65" s="324"/>
      <c r="FK65" s="324"/>
      <c r="FL65" s="324"/>
      <c r="FM65" s="324"/>
      <c r="FN65" s="324"/>
      <c r="FO65" s="324"/>
      <c r="FP65" s="324"/>
      <c r="FQ65" s="324"/>
      <c r="FR65" s="324"/>
      <c r="FS65" s="324"/>
      <c r="FT65" s="324"/>
      <c r="FU65" s="324"/>
      <c r="FV65" s="324"/>
      <c r="FW65" s="324"/>
      <c r="FX65" s="324"/>
      <c r="FY65" s="324"/>
      <c r="FZ65" s="324"/>
      <c r="GA65" s="324"/>
      <c r="GB65" s="324"/>
      <c r="GC65" s="324"/>
      <c r="GD65" s="324"/>
      <c r="GE65" s="324"/>
      <c r="GF65" s="324"/>
      <c r="GG65" s="324"/>
      <c r="GH65" s="324"/>
      <c r="GI65" s="324"/>
      <c r="GJ65" s="324"/>
      <c r="GK65" s="324"/>
      <c r="GL65" s="324"/>
      <c r="GM65" s="324"/>
      <c r="GN65" s="324"/>
      <c r="GO65" s="324"/>
      <c r="GP65" s="324"/>
      <c r="GQ65" s="324"/>
      <c r="GR65" s="324"/>
      <c r="GS65" s="324"/>
      <c r="GT65" s="324"/>
      <c r="GU65" s="324"/>
      <c r="GV65" s="324"/>
      <c r="GW65" s="324"/>
      <c r="GX65" s="324"/>
      <c r="GY65" s="324"/>
      <c r="GZ65" s="324"/>
      <c r="HA65" s="324"/>
      <c r="HB65" s="324"/>
      <c r="HC65" s="324"/>
      <c r="HD65" s="324"/>
      <c r="HE65" s="324"/>
      <c r="HF65" s="324"/>
      <c r="HG65" s="324"/>
      <c r="HH65" s="324"/>
      <c r="HI65" s="324"/>
      <c r="HJ65" s="324"/>
      <c r="HK65" s="324"/>
      <c r="HL65" s="324"/>
      <c r="HM65" s="324"/>
      <c r="HN65" s="324"/>
      <c r="HO65" s="324"/>
      <c r="HP65" s="324"/>
      <c r="HQ65" s="324"/>
      <c r="HR65" s="324"/>
      <c r="HS65" s="324"/>
      <c r="HT65" s="324"/>
      <c r="HU65" s="324"/>
      <c r="HV65" s="324"/>
      <c r="HW65" s="324"/>
      <c r="HX65" s="324"/>
      <c r="HY65" s="324"/>
      <c r="HZ65" s="324"/>
      <c r="IA65" s="324"/>
      <c r="IB65" s="324"/>
      <c r="IC65" s="324"/>
    </row>
    <row r="66" ht="25.5" customHeight="1">
      <c r="A66" s="1"/>
      <c r="B66" s="3"/>
      <c r="C66" s="328"/>
      <c r="D66" s="329"/>
      <c r="E66" s="329"/>
      <c r="F66" s="329"/>
      <c r="G66" s="329"/>
      <c r="H66" s="329"/>
      <c r="I66" s="329"/>
      <c r="J66" s="329"/>
      <c r="K66" s="329"/>
      <c r="L66" s="329"/>
      <c r="M66" s="3"/>
      <c r="N66" s="330"/>
      <c r="O66" s="331"/>
      <c r="P66" s="331"/>
      <c r="Q66" s="331"/>
      <c r="R66" s="331"/>
      <c r="S66" s="331"/>
      <c r="T66" s="331"/>
      <c r="U66" s="331"/>
      <c r="V66" s="331"/>
      <c r="W66" s="331"/>
      <c r="X66" s="332"/>
      <c r="Y66" s="6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</row>
    <row r="67" ht="24.0" customHeight="1">
      <c r="A67" s="1"/>
      <c r="B67" s="3"/>
      <c r="C67" s="333" t="s">
        <v>98</v>
      </c>
      <c r="D67" s="3"/>
      <c r="E67" s="334" t="s">
        <v>35</v>
      </c>
      <c r="F67" s="48"/>
      <c r="G67" s="48"/>
      <c r="H67" s="48"/>
      <c r="I67" s="48"/>
      <c r="J67" s="48"/>
      <c r="K67" s="48"/>
      <c r="L67" s="48"/>
      <c r="M67" s="3"/>
      <c r="N67" s="335" t="s">
        <v>98</v>
      </c>
      <c r="O67" s="6"/>
      <c r="P67" s="336"/>
      <c r="Q67" s="48"/>
      <c r="R67" s="48"/>
      <c r="S67" s="48"/>
      <c r="T67" s="48"/>
      <c r="U67" s="48"/>
      <c r="V67" s="48"/>
      <c r="W67" s="49"/>
      <c r="X67" s="337"/>
      <c r="Y67" s="6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</row>
    <row r="68" ht="22.5" customHeight="1">
      <c r="A68" s="1"/>
      <c r="B68" s="3"/>
      <c r="C68" s="333" t="s">
        <v>99</v>
      </c>
      <c r="D68" s="3"/>
      <c r="E68" s="338" t="s">
        <v>100</v>
      </c>
      <c r="F68" s="9"/>
      <c r="G68" s="9"/>
      <c r="H68" s="9"/>
      <c r="I68" s="9"/>
      <c r="J68" s="9"/>
      <c r="K68" s="9"/>
      <c r="L68" s="9"/>
      <c r="M68" s="3"/>
      <c r="N68" s="335" t="s">
        <v>101</v>
      </c>
      <c r="O68" s="6"/>
      <c r="P68" s="339"/>
      <c r="Q68" s="83"/>
      <c r="R68" s="83"/>
      <c r="S68" s="83"/>
      <c r="T68" s="83"/>
      <c r="U68" s="83"/>
      <c r="V68" s="83"/>
      <c r="W68" s="99"/>
      <c r="X68" s="337"/>
      <c r="Y68" s="6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</row>
    <row r="69" ht="8.25" customHeight="1">
      <c r="A69" s="1"/>
      <c r="B69" s="3"/>
      <c r="C69" s="340"/>
      <c r="D69" s="341"/>
      <c r="E69" s="341"/>
      <c r="F69" s="341"/>
      <c r="G69" s="341"/>
      <c r="H69" s="341"/>
      <c r="I69" s="341"/>
      <c r="J69" s="341"/>
      <c r="K69" s="341"/>
      <c r="L69" s="341"/>
      <c r="M69" s="341"/>
      <c r="N69" s="342"/>
      <c r="O69" s="343"/>
      <c r="P69" s="343"/>
      <c r="Q69" s="343"/>
      <c r="R69" s="341"/>
      <c r="S69" s="341"/>
      <c r="T69" s="341"/>
      <c r="U69" s="341"/>
      <c r="V69" s="341"/>
      <c r="W69" s="344"/>
      <c r="X69" s="345"/>
      <c r="Y69" s="6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</row>
    <row r="70" ht="16.5" customHeight="1">
      <c r="A70" s="1"/>
      <c r="B70" s="3"/>
      <c r="C70" s="3"/>
      <c r="D70" s="3"/>
      <c r="E70" s="3"/>
      <c r="F70" s="3"/>
      <c r="G70" s="3"/>
      <c r="H70" s="3"/>
      <c r="I70" s="3"/>
      <c r="J70" s="346"/>
      <c r="K70" s="346"/>
      <c r="L70" s="346"/>
      <c r="M70" s="346"/>
      <c r="N70" s="346"/>
      <c r="O70" s="346"/>
      <c r="P70" s="55"/>
      <c r="Q70" s="55"/>
      <c r="R70" s="55"/>
      <c r="S70" s="55"/>
      <c r="T70" s="55"/>
      <c r="U70" s="55"/>
      <c r="V70" s="55"/>
      <c r="W70" s="55"/>
      <c r="X70" s="55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</row>
    <row r="71" ht="6.75" customHeight="1">
      <c r="A71" s="1"/>
      <c r="B71" s="3"/>
      <c r="C71" s="34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</row>
    <row r="72" ht="10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</row>
    <row r="73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</row>
    <row r="74" ht="10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</row>
    <row r="75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</row>
    <row r="76" ht="10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</row>
    <row r="77" ht="10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</row>
    <row r="78" ht="10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</row>
    <row r="79" ht="10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</row>
    <row r="80" ht="10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</row>
    <row r="81" ht="10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</row>
    <row r="82" ht="10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</row>
    <row r="83" ht="10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</row>
    <row r="84" ht="10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</row>
    <row r="85" ht="10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</row>
    <row r="86" ht="10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</row>
    <row r="87" ht="10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</row>
    <row r="88" ht="10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</row>
    <row r="89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</row>
    <row r="90" ht="10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</row>
    <row r="91" ht="10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</row>
    <row r="92" ht="10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</row>
    <row r="93" ht="10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</row>
    <row r="94" ht="10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</row>
    <row r="95" ht="10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</row>
    <row r="96" ht="10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</row>
    <row r="97" ht="10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</row>
    <row r="98" ht="10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</row>
    <row r="99" ht="10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</row>
    <row r="100" ht="10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</row>
    <row r="101" ht="10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</row>
    <row r="102" ht="10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</row>
    <row r="103" ht="10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</row>
    <row r="104" ht="10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</row>
    <row r="105" ht="10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</row>
    <row r="106" ht="10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</row>
    <row r="107" ht="10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</row>
    <row r="108" ht="10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</row>
    <row r="109" ht="10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</row>
    <row r="110" ht="10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</row>
    <row r="111" ht="10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</row>
    <row r="112" ht="10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</row>
    <row r="113" ht="10.5" customHeight="1">
      <c r="A113" s="1"/>
      <c r="B113" s="348"/>
      <c r="C113" s="349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50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</row>
    <row r="114" ht="10.5" customHeight="1">
      <c r="A114" s="1"/>
      <c r="B114" s="351" t="s">
        <v>102</v>
      </c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3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</row>
    <row r="115" ht="10.5" customHeight="1">
      <c r="A115" s="1"/>
      <c r="B115" s="354"/>
      <c r="C115" s="355" t="s">
        <v>103</v>
      </c>
      <c r="D115" s="6"/>
      <c r="E115" s="356"/>
      <c r="F115" s="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6"/>
      <c r="AA115" s="357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</row>
    <row r="116" ht="10.5" customHeight="1">
      <c r="A116" s="1"/>
      <c r="B116" s="354"/>
      <c r="C116" s="358" t="s">
        <v>104</v>
      </c>
      <c r="D116" s="6"/>
      <c r="E116" s="356"/>
      <c r="F116" s="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6"/>
      <c r="AA116" s="357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</row>
    <row r="117" ht="10.5" customHeight="1">
      <c r="A117" s="1"/>
      <c r="B117" s="359"/>
      <c r="C117" s="358" t="s">
        <v>105</v>
      </c>
      <c r="D117" s="6"/>
      <c r="E117" s="356"/>
      <c r="F117" s="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60" t="s">
        <v>106</v>
      </c>
      <c r="Y117" s="360"/>
      <c r="Z117" s="360"/>
      <c r="AA117" s="357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</row>
    <row r="118" ht="10.5" customHeight="1">
      <c r="A118" s="1"/>
      <c r="B118" s="361"/>
      <c r="C118" s="362" t="s">
        <v>107</v>
      </c>
      <c r="D118" s="1"/>
      <c r="E118" s="362"/>
      <c r="F118" s="1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94"/>
      <c r="V118" s="94"/>
      <c r="W118" s="94"/>
      <c r="X118" s="6"/>
      <c r="Y118" s="6"/>
      <c r="Z118" s="6"/>
      <c r="AA118" s="357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</row>
    <row r="119" ht="15.75" customHeight="1">
      <c r="A119" s="1"/>
      <c r="B119" s="359">
        <v>1.0</v>
      </c>
      <c r="C119" s="363" t="s">
        <v>108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357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</row>
    <row r="120" ht="15.75" customHeight="1">
      <c r="A120" s="1"/>
      <c r="B120" s="359">
        <v>2.0</v>
      </c>
      <c r="C120" s="363" t="s">
        <v>109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357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</row>
    <row r="121" ht="15.75" customHeight="1">
      <c r="A121" s="1"/>
      <c r="B121" s="359">
        <v>3.0</v>
      </c>
      <c r="C121" s="363" t="s">
        <v>110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357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</row>
    <row r="122" ht="15.75" customHeight="1">
      <c r="A122" s="1"/>
      <c r="B122" s="359">
        <v>4.0</v>
      </c>
      <c r="C122" s="364" t="s">
        <v>111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357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</row>
    <row r="123" ht="10.5" customHeight="1">
      <c r="A123" s="1"/>
      <c r="B123" s="359"/>
      <c r="C123" s="36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357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</row>
    <row r="124" ht="10.5" customHeight="1">
      <c r="A124" s="1"/>
      <c r="B124" s="361"/>
      <c r="C124" s="362" t="s">
        <v>112</v>
      </c>
      <c r="D124" s="1"/>
      <c r="E124" s="362"/>
      <c r="F124" s="1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94"/>
      <c r="V124" s="94"/>
      <c r="W124" s="94"/>
      <c r="X124" s="94"/>
      <c r="Y124" s="94"/>
      <c r="Z124" s="6"/>
      <c r="AA124" s="357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</row>
    <row r="125" ht="15.75" customHeight="1">
      <c r="A125" s="1"/>
      <c r="B125" s="359">
        <v>5.0</v>
      </c>
      <c r="C125" s="365" t="s">
        <v>113</v>
      </c>
      <c r="D125" s="6"/>
      <c r="E125" s="6"/>
      <c r="F125" s="6"/>
      <c r="G125" s="36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357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</row>
    <row r="126" ht="15.75" customHeight="1">
      <c r="A126" s="1"/>
      <c r="B126" s="359">
        <v>6.0</v>
      </c>
      <c r="C126" s="365" t="s">
        <v>114</v>
      </c>
      <c r="D126" s="6"/>
      <c r="E126" s="36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357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</row>
    <row r="127" ht="15.75" customHeight="1">
      <c r="A127" s="1"/>
      <c r="B127" s="359">
        <v>7.0</v>
      </c>
      <c r="C127" s="365" t="s">
        <v>115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357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</row>
    <row r="128" ht="15.75" customHeight="1">
      <c r="A128" s="1"/>
      <c r="B128" s="359"/>
      <c r="C128" s="36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357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</row>
    <row r="129" ht="10.5" customHeight="1">
      <c r="A129" s="1"/>
      <c r="B129" s="361"/>
      <c r="C129" s="362" t="s">
        <v>116</v>
      </c>
      <c r="D129" s="1"/>
      <c r="E129" s="362"/>
      <c r="F129" s="1"/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94"/>
      <c r="V129" s="94"/>
      <c r="W129" s="94"/>
      <c r="X129" s="94"/>
      <c r="Y129" s="94"/>
      <c r="Z129" s="6"/>
      <c r="AA129" s="357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</row>
    <row r="130" ht="15.75" customHeight="1">
      <c r="A130" s="1"/>
      <c r="B130" s="359">
        <v>8.0</v>
      </c>
      <c r="C130" s="365" t="s">
        <v>117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357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</row>
    <row r="131" ht="15.75" customHeight="1">
      <c r="A131" s="1"/>
      <c r="B131" s="359">
        <v>9.0</v>
      </c>
      <c r="C131" s="365" t="s">
        <v>118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357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</row>
    <row r="132" ht="15.75" customHeight="1">
      <c r="A132" s="1"/>
      <c r="B132" s="359" t="s">
        <v>45</v>
      </c>
      <c r="C132" s="365" t="s">
        <v>119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357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</row>
    <row r="133" ht="15.75" customHeight="1">
      <c r="A133" s="1"/>
      <c r="B133" s="359" t="s">
        <v>46</v>
      </c>
      <c r="C133" s="365" t="s">
        <v>120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357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</row>
    <row r="134" ht="15.75" customHeight="1">
      <c r="A134" s="1"/>
      <c r="B134" s="359" t="s">
        <v>47</v>
      </c>
      <c r="C134" s="364" t="s">
        <v>121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357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</row>
    <row r="135" ht="15.75" customHeight="1">
      <c r="A135" s="1"/>
      <c r="B135" s="359">
        <v>10.0</v>
      </c>
      <c r="C135" s="365" t="s">
        <v>122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357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</row>
    <row r="136" ht="15.75" customHeight="1">
      <c r="A136" s="1"/>
      <c r="B136" s="359"/>
      <c r="C136" s="36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357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</row>
    <row r="137" ht="15.75" customHeight="1">
      <c r="A137" s="1"/>
      <c r="B137" s="359"/>
      <c r="C137" s="362" t="s">
        <v>60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6"/>
      <c r="V137" s="6"/>
      <c r="W137" s="6"/>
      <c r="X137" s="6"/>
      <c r="Y137" s="6"/>
      <c r="Z137" s="6"/>
      <c r="AA137" s="357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</row>
    <row r="138" ht="15.75" customHeight="1">
      <c r="A138" s="1"/>
      <c r="B138" s="359">
        <v>11.0</v>
      </c>
      <c r="C138" s="365" t="s">
        <v>123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357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</row>
    <row r="139" ht="15.75" customHeight="1">
      <c r="A139" s="1"/>
      <c r="B139" s="359">
        <v>12.0</v>
      </c>
      <c r="C139" s="365" t="s">
        <v>124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357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</row>
    <row r="140" ht="15.75" customHeight="1">
      <c r="A140" s="1"/>
      <c r="B140" s="359">
        <v>13.0</v>
      </c>
      <c r="C140" s="365" t="s">
        <v>125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357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</row>
    <row r="141" ht="33.0" customHeight="1">
      <c r="A141" s="1"/>
      <c r="B141" s="359" t="s">
        <v>126</v>
      </c>
      <c r="C141" s="366" t="s">
        <v>127</v>
      </c>
      <c r="D141" s="367"/>
      <c r="E141" s="367"/>
      <c r="F141" s="367"/>
      <c r="G141" s="367"/>
      <c r="H141" s="367"/>
      <c r="I141" s="367"/>
      <c r="J141" s="367"/>
      <c r="K141" s="367"/>
      <c r="L141" s="367"/>
      <c r="M141" s="367"/>
      <c r="N141" s="367"/>
      <c r="O141" s="367"/>
      <c r="P141" s="367"/>
      <c r="Q141" s="367"/>
      <c r="R141" s="367"/>
      <c r="S141" s="367"/>
      <c r="T141" s="367"/>
      <c r="U141" s="367"/>
      <c r="V141" s="367"/>
      <c r="W141" s="367"/>
      <c r="X141" s="367"/>
      <c r="Y141" s="367"/>
      <c r="Z141" s="367"/>
      <c r="AA141" s="368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</row>
    <row r="142" ht="15.75" customHeight="1">
      <c r="A142" s="1"/>
      <c r="B142" s="359" t="s">
        <v>62</v>
      </c>
      <c r="C142" s="364" t="s">
        <v>128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357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</row>
    <row r="143" ht="15.75" customHeight="1">
      <c r="A143" s="1"/>
      <c r="B143" s="359" t="s">
        <v>63</v>
      </c>
      <c r="C143" s="364" t="s">
        <v>129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357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</row>
    <row r="144" ht="15.75" customHeight="1">
      <c r="A144" s="1"/>
      <c r="B144" s="359"/>
      <c r="C144" s="369" t="s">
        <v>130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357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</row>
    <row r="145" ht="15.75" customHeight="1">
      <c r="A145" s="1"/>
      <c r="B145" s="359">
        <v>15.0</v>
      </c>
      <c r="C145" s="365" t="s">
        <v>131</v>
      </c>
      <c r="D145" s="6"/>
      <c r="E145" s="6"/>
      <c r="F145" s="6"/>
      <c r="G145" s="6"/>
      <c r="H145" s="6"/>
      <c r="I145" s="6"/>
      <c r="J145" s="6"/>
      <c r="K145" s="370" t="s">
        <v>132</v>
      </c>
      <c r="L145" s="370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357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</row>
    <row r="146" ht="15.75" customHeight="1">
      <c r="A146" s="1"/>
      <c r="B146" s="359"/>
      <c r="C146" s="365"/>
      <c r="D146" s="6"/>
      <c r="E146" s="6"/>
      <c r="F146" s="6"/>
      <c r="G146" s="6"/>
      <c r="H146" s="6"/>
      <c r="I146" s="6"/>
      <c r="J146" s="6"/>
      <c r="K146" s="370" t="s">
        <v>133</v>
      </c>
      <c r="L146" s="370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357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</row>
    <row r="147" ht="15.75" customHeight="1">
      <c r="A147" s="1"/>
      <c r="B147" s="359"/>
      <c r="C147" s="365"/>
      <c r="D147" s="6"/>
      <c r="E147" s="6"/>
      <c r="F147" s="6"/>
      <c r="G147" s="6"/>
      <c r="H147" s="6"/>
      <c r="I147" s="6"/>
      <c r="J147" s="6"/>
      <c r="K147" s="370" t="s">
        <v>134</v>
      </c>
      <c r="L147" s="370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357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</row>
    <row r="148" ht="15.75" customHeight="1">
      <c r="A148" s="1"/>
      <c r="B148" s="359">
        <v>17.0</v>
      </c>
      <c r="C148" s="371" t="s">
        <v>135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357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</row>
    <row r="149" ht="15.75" customHeight="1">
      <c r="A149" s="1"/>
      <c r="B149" s="359"/>
      <c r="C149" s="369" t="s">
        <v>136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357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</row>
    <row r="150" ht="15.75" customHeight="1">
      <c r="A150" s="1"/>
      <c r="B150" s="359"/>
      <c r="C150" s="369" t="s">
        <v>137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357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</row>
    <row r="151" ht="10.5" customHeight="1">
      <c r="A151" s="1"/>
      <c r="B151" s="359"/>
      <c r="C151" s="36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357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</row>
    <row r="152" ht="15.75" customHeight="1">
      <c r="A152" s="1"/>
      <c r="B152" s="359">
        <v>18.0</v>
      </c>
      <c r="C152" s="371" t="s">
        <v>138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357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</row>
    <row r="153" ht="15.75" customHeight="1">
      <c r="A153" s="1"/>
      <c r="B153" s="359">
        <v>19.0</v>
      </c>
      <c r="C153" s="371" t="s">
        <v>139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357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</row>
    <row r="154" ht="10.5" customHeight="1">
      <c r="A154" s="1"/>
      <c r="B154" s="37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357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</row>
    <row r="155" ht="10.5" customHeight="1">
      <c r="A155" s="1"/>
      <c r="B155" s="372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357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</row>
    <row r="156" ht="10.5" customHeight="1">
      <c r="A156" s="1"/>
      <c r="B156" s="37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357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</row>
    <row r="157" ht="10.5" customHeight="1">
      <c r="A157" s="1"/>
      <c r="B157" s="374"/>
      <c r="C157" s="375"/>
      <c r="D157" s="375"/>
      <c r="E157" s="375"/>
      <c r="F157" s="375"/>
      <c r="G157" s="375"/>
      <c r="H157" s="375"/>
      <c r="I157" s="375"/>
      <c r="J157" s="375"/>
      <c r="K157" s="375"/>
      <c r="L157" s="375"/>
      <c r="M157" s="375"/>
      <c r="N157" s="375"/>
      <c r="O157" s="375"/>
      <c r="P157" s="375"/>
      <c r="Q157" s="375"/>
      <c r="R157" s="375"/>
      <c r="S157" s="375"/>
      <c r="T157" s="375"/>
      <c r="U157" s="375"/>
      <c r="V157" s="375"/>
      <c r="W157" s="375"/>
      <c r="X157" s="375"/>
      <c r="Y157" s="375"/>
      <c r="Z157" s="375"/>
      <c r="AA157" s="376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</row>
    <row r="158" ht="10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</row>
  </sheetData>
  <mergeCells count="207">
    <mergeCell ref="W5:X6"/>
    <mergeCell ref="AA5:AB5"/>
    <mergeCell ref="V7:X7"/>
    <mergeCell ref="V8:X8"/>
    <mergeCell ref="F1:X1"/>
    <mergeCell ref="C2:G6"/>
    <mergeCell ref="U2:V3"/>
    <mergeCell ref="W2:X3"/>
    <mergeCell ref="U4:V4"/>
    <mergeCell ref="W4:X4"/>
    <mergeCell ref="AK4:AP4"/>
    <mergeCell ref="AK6:AP6"/>
    <mergeCell ref="H2:T4"/>
    <mergeCell ref="H5:N6"/>
    <mergeCell ref="O5:T6"/>
    <mergeCell ref="D8:I8"/>
    <mergeCell ref="J8:P8"/>
    <mergeCell ref="D9:I9"/>
    <mergeCell ref="J9:P9"/>
    <mergeCell ref="S8:U8"/>
    <mergeCell ref="S9:U9"/>
    <mergeCell ref="V9:X9"/>
    <mergeCell ref="C11:X11"/>
    <mergeCell ref="N12:O12"/>
    <mergeCell ref="P12:V12"/>
    <mergeCell ref="W12:X12"/>
    <mergeCell ref="P14:V14"/>
    <mergeCell ref="W14:X14"/>
    <mergeCell ref="C12:M12"/>
    <mergeCell ref="C13:M13"/>
    <mergeCell ref="N13:O13"/>
    <mergeCell ref="P13:V13"/>
    <mergeCell ref="W13:X13"/>
    <mergeCell ref="C14:M14"/>
    <mergeCell ref="N14:O14"/>
    <mergeCell ref="C16:X16"/>
    <mergeCell ref="C17:E17"/>
    <mergeCell ref="F17:S17"/>
    <mergeCell ref="T17:X17"/>
    <mergeCell ref="C18:E18"/>
    <mergeCell ref="F18:S18"/>
    <mergeCell ref="T18:X18"/>
    <mergeCell ref="J26:L26"/>
    <mergeCell ref="N26:O26"/>
    <mergeCell ref="J27:L27"/>
    <mergeCell ref="N27:O27"/>
    <mergeCell ref="P27:R27"/>
    <mergeCell ref="J28:L28"/>
    <mergeCell ref="N28:O28"/>
    <mergeCell ref="P28:R28"/>
    <mergeCell ref="F26:G26"/>
    <mergeCell ref="H26:I26"/>
    <mergeCell ref="C27:E27"/>
    <mergeCell ref="F27:G27"/>
    <mergeCell ref="H27:I27"/>
    <mergeCell ref="F28:G28"/>
    <mergeCell ref="H28:I28"/>
    <mergeCell ref="O34:V34"/>
    <mergeCell ref="W34:X34"/>
    <mergeCell ref="C31:M31"/>
    <mergeCell ref="N31:O31"/>
    <mergeCell ref="P31:R31"/>
    <mergeCell ref="S31:X31"/>
    <mergeCell ref="C33:X33"/>
    <mergeCell ref="D34:G34"/>
    <mergeCell ref="H34:J34"/>
    <mergeCell ref="U38:V38"/>
    <mergeCell ref="W38:X38"/>
    <mergeCell ref="U39:V39"/>
    <mergeCell ref="W39:X39"/>
    <mergeCell ref="U40:V40"/>
    <mergeCell ref="W40:X40"/>
    <mergeCell ref="W41:X41"/>
    <mergeCell ref="U48:V48"/>
    <mergeCell ref="U49:V49"/>
    <mergeCell ref="S50:T50"/>
    <mergeCell ref="U50:V50"/>
    <mergeCell ref="U41:V41"/>
    <mergeCell ref="U42:V42"/>
    <mergeCell ref="U43:V43"/>
    <mergeCell ref="U44:V44"/>
    <mergeCell ref="U45:V45"/>
    <mergeCell ref="U46:V46"/>
    <mergeCell ref="U47:V47"/>
    <mergeCell ref="W49:X49"/>
    <mergeCell ref="W50:X50"/>
    <mergeCell ref="Y51:Z51"/>
    <mergeCell ref="Y52:Z52"/>
    <mergeCell ref="W42:X42"/>
    <mergeCell ref="W43:X43"/>
    <mergeCell ref="W44:X44"/>
    <mergeCell ref="W45:X45"/>
    <mergeCell ref="W46:X46"/>
    <mergeCell ref="W47:X47"/>
    <mergeCell ref="W48:X48"/>
    <mergeCell ref="P22:R22"/>
    <mergeCell ref="S22:X22"/>
    <mergeCell ref="S23:X24"/>
    <mergeCell ref="P24:R24"/>
    <mergeCell ref="C19:E19"/>
    <mergeCell ref="F19:S19"/>
    <mergeCell ref="T19:X19"/>
    <mergeCell ref="C21:X21"/>
    <mergeCell ref="C22:I22"/>
    <mergeCell ref="J22:L22"/>
    <mergeCell ref="N22:O22"/>
    <mergeCell ref="C23:I23"/>
    <mergeCell ref="J23:L23"/>
    <mergeCell ref="P23:R23"/>
    <mergeCell ref="C24:E24"/>
    <mergeCell ref="F24:G24"/>
    <mergeCell ref="H24:I24"/>
    <mergeCell ref="J24:L24"/>
    <mergeCell ref="P26:R26"/>
    <mergeCell ref="S26:X26"/>
    <mergeCell ref="S27:X27"/>
    <mergeCell ref="S28:X28"/>
    <mergeCell ref="S29:X29"/>
    <mergeCell ref="P30:R30"/>
    <mergeCell ref="S30:X30"/>
    <mergeCell ref="C25:E25"/>
    <mergeCell ref="F25:G25"/>
    <mergeCell ref="H25:I25"/>
    <mergeCell ref="J25:L25"/>
    <mergeCell ref="P25:R25"/>
    <mergeCell ref="S25:X25"/>
    <mergeCell ref="C26:E26"/>
    <mergeCell ref="C28:E28"/>
    <mergeCell ref="C29:E29"/>
    <mergeCell ref="F29:G29"/>
    <mergeCell ref="H29:I29"/>
    <mergeCell ref="J29:L29"/>
    <mergeCell ref="N29:O29"/>
    <mergeCell ref="P29:R29"/>
    <mergeCell ref="M35:M37"/>
    <mergeCell ref="N35:N37"/>
    <mergeCell ref="O35:V35"/>
    <mergeCell ref="W35:X37"/>
    <mergeCell ref="O36:P37"/>
    <mergeCell ref="Q36:T36"/>
    <mergeCell ref="U36:V37"/>
    <mergeCell ref="D44:G44"/>
    <mergeCell ref="D45:G45"/>
    <mergeCell ref="D46:G46"/>
    <mergeCell ref="D47:G47"/>
    <mergeCell ref="D48:G48"/>
    <mergeCell ref="D49:G49"/>
    <mergeCell ref="D50:I50"/>
    <mergeCell ref="C46:C49"/>
    <mergeCell ref="D51:D52"/>
    <mergeCell ref="C54:E54"/>
    <mergeCell ref="F54:X54"/>
    <mergeCell ref="R56:U56"/>
    <mergeCell ref="V56:X56"/>
    <mergeCell ref="L57:O57"/>
    <mergeCell ref="P58:W58"/>
    <mergeCell ref="C57:J57"/>
    <mergeCell ref="C58:J58"/>
    <mergeCell ref="L58:O59"/>
    <mergeCell ref="C59:F59"/>
    <mergeCell ref="G59:J59"/>
    <mergeCell ref="C60:F60"/>
    <mergeCell ref="G60:J60"/>
    <mergeCell ref="P67:W67"/>
    <mergeCell ref="P68:W68"/>
    <mergeCell ref="L60:O60"/>
    <mergeCell ref="C62:X62"/>
    <mergeCell ref="C63:X63"/>
    <mergeCell ref="C64:X64"/>
    <mergeCell ref="N65:X65"/>
    <mergeCell ref="E67:L67"/>
    <mergeCell ref="E68:L68"/>
    <mergeCell ref="H36:H37"/>
    <mergeCell ref="I36:I37"/>
    <mergeCell ref="N23:O23"/>
    <mergeCell ref="N24:O24"/>
    <mergeCell ref="N25:O25"/>
    <mergeCell ref="N30:O30"/>
    <mergeCell ref="C35:C37"/>
    <mergeCell ref="H35:J35"/>
    <mergeCell ref="J36:J37"/>
    <mergeCell ref="K34:K37"/>
    <mergeCell ref="L35:L37"/>
    <mergeCell ref="O38:P38"/>
    <mergeCell ref="O39:P39"/>
    <mergeCell ref="O40:P40"/>
    <mergeCell ref="O41:P41"/>
    <mergeCell ref="O42:P42"/>
    <mergeCell ref="D35:G37"/>
    <mergeCell ref="D38:G38"/>
    <mergeCell ref="D39:G39"/>
    <mergeCell ref="D40:G40"/>
    <mergeCell ref="D41:G41"/>
    <mergeCell ref="D42:G42"/>
    <mergeCell ref="D43:G43"/>
    <mergeCell ref="L50:N50"/>
    <mergeCell ref="O50:P50"/>
    <mergeCell ref="L51:N52"/>
    <mergeCell ref="O43:P43"/>
    <mergeCell ref="O44:P44"/>
    <mergeCell ref="O45:P45"/>
    <mergeCell ref="O46:P46"/>
    <mergeCell ref="O47:P47"/>
    <mergeCell ref="O48:P48"/>
    <mergeCell ref="O49:P49"/>
    <mergeCell ref="E51:J51"/>
    <mergeCell ref="E52:J52"/>
  </mergeCells>
  <conditionalFormatting sqref="C14 N14:O14">
    <cfRule type="cellIs" dxfId="0" priority="1" operator="notEqual">
      <formula>#REF!</formula>
    </cfRule>
  </conditionalFormatting>
  <conditionalFormatting sqref="C19">
    <cfRule type="cellIs" dxfId="0" priority="2" operator="notEqual">
      <formula>#REF!</formula>
    </cfRule>
  </conditionalFormatting>
  <conditionalFormatting sqref="C25:C29 C38:I45 F25:F29 F54 H25:H29 K38:K45 O38:S45 S25:S30 U38:V45 Y52:Y54">
    <cfRule type="cellIs" dxfId="0" priority="3" stopIfTrue="1" operator="notEqual">
      <formula>#REF!</formula>
    </cfRule>
  </conditionalFormatting>
  <conditionalFormatting sqref="F7">
    <cfRule type="cellIs" dxfId="1" priority="4" stopIfTrue="1" operator="notEqual">
      <formula>"C1"</formula>
    </cfRule>
  </conditionalFormatting>
  <conditionalFormatting sqref="J38:J49 T38:T49">
    <cfRule type="cellIs" dxfId="2" priority="5" stopIfTrue="1" operator="equal">
      <formula>0</formula>
    </cfRule>
  </conditionalFormatting>
  <conditionalFormatting sqref="J8:M9">
    <cfRule type="cellIs" dxfId="0" priority="6" stopIfTrue="1" operator="notEqual">
      <formula>#REF!</formula>
    </cfRule>
  </conditionalFormatting>
  <conditionalFormatting sqref="K46:L49">
    <cfRule type="cellIs" dxfId="1" priority="7" stopIfTrue="1" operator="notEqual">
      <formula>#REF!</formula>
    </cfRule>
  </conditionalFormatting>
  <conditionalFormatting sqref="L38:L45">
    <cfRule type="cellIs" dxfId="2" priority="8" stopIfTrue="1" operator="equal">
      <formula>0</formula>
    </cfRule>
  </conditionalFormatting>
  <conditionalFormatting sqref="O46:O49 R46:S49 U46:U49">
    <cfRule type="cellIs" dxfId="1" priority="9" stopIfTrue="1" operator="notEqual">
      <formula>#REF!</formula>
    </cfRule>
  </conditionalFormatting>
  <conditionalFormatting sqref="O5:T6">
    <cfRule type="containsText" dxfId="3" priority="10" stopIfTrue="1" operator="containsText" text="TARJETA AMEX">
      <formula>NOT(ISERROR(SEARCH(("TARJETA AMEX"),(O5))))</formula>
    </cfRule>
  </conditionalFormatting>
  <conditionalFormatting sqref="O5:T6">
    <cfRule type="containsText" dxfId="4" priority="11" stopIfTrue="1" operator="containsText" text="TARJETA PREPAGO">
      <formula>NOT(ISERROR(SEARCH(("TARJETA PREPAGO"),(O5))))</formula>
    </cfRule>
  </conditionalFormatting>
  <conditionalFormatting sqref="O5:T6">
    <cfRule type="containsText" dxfId="5" priority="12" stopIfTrue="1" operator="containsText" text="EXTERIOR">
      <formula>NOT(ISERROR(SEARCH(("EXTERIOR"),(O5))))</formula>
    </cfRule>
  </conditionalFormatting>
  <conditionalFormatting sqref="O5:T6">
    <cfRule type="containsText" dxfId="6" priority="13" stopIfTrue="1" operator="containsText" text="NACIONAL">
      <formula>NOT(ISERROR(SEARCH(("NACIONAL"),(O5))))</formula>
    </cfRule>
  </conditionalFormatting>
  <conditionalFormatting sqref="P14:X14">
    <cfRule type="cellIs" dxfId="1" priority="14" stopIfTrue="1" operator="notEqual">
      <formula>#REF!</formula>
    </cfRule>
  </conditionalFormatting>
  <conditionalFormatting sqref="T19">
    <cfRule type="cellIs" dxfId="1" priority="15" stopIfTrue="1" operator="notEqual">
      <formula>#REF!</formula>
    </cfRule>
  </conditionalFormatting>
  <conditionalFormatting sqref="V8:W9">
    <cfRule type="cellIs" dxfId="0" priority="16" stopIfTrue="1" operator="notEqual">
      <formula>#REF!</formula>
    </cfRule>
  </conditionalFormatting>
  <dataValidations>
    <dataValidation type="list" allowBlank="1" showErrorMessage="1" sqref="J8">
      <formula1>Dependencias</formula1>
    </dataValidation>
    <dataValidation type="list" allowBlank="1" showInputMessage="1" showErrorMessage="1" prompt=" - " sqref="C19">
      <formula1>INDIRECT("MES")</formula1>
    </dataValidation>
    <dataValidation type="list" allowBlank="1" showErrorMessage="1" sqref="C38:C45">
      <formula1>INDIRECT($Y$14)</formula1>
    </dataValidation>
    <dataValidation type="list" allowBlank="1" showErrorMessage="1" sqref="P14">
      <formula1>PUESTOS</formula1>
    </dataValidation>
    <dataValidation type="list" allowBlank="1" showErrorMessage="1" sqref="O5">
      <formula1>$IB$2:$IB$5</formula1>
    </dataValidation>
    <dataValidation type="list" allowBlank="1" showInputMessage="1" showErrorMessage="1" prompt="Indique si el empleado canceló directamente el hotel o alojamiento. Debe anexarse la factura correspondiente." sqref="K38:K45">
      <formula1>"SI,NO"</formula1>
    </dataValidation>
    <dataValidation type="list" allowBlank="1" showErrorMessage="1" sqref="H2">
      <formula1>"FEDERACIÓN NACIONAL DE CAFETEROS DE COLOMBIA,ALMACENES GENERALES DE DEPÓSITO DE CAFÉ S.A - ALMACAFÉ"</formula1>
    </dataValidation>
    <dataValidation type="list" allowBlank="1" showInputMessage="1" showErrorMessage="1" prompt="POR FAVOR SELECCIONE UNA OPCIÓN DE LA LISTA DESPLEGABLE" sqref="T19">
      <formula1>INDIRECT("EMP")</formula1>
    </dataValidation>
    <dataValidation type="list" allowBlank="1" showErrorMessage="1" sqref="J9">
      <formula1>INDIRECT(J8)</formula1>
    </dataValidation>
    <dataValidation type="list" allowBlank="1" showInputMessage="1" showErrorMessage="1" prompt="Indique el empleado que clase de vehiculo uso para la comisión en ocasión al trabajo." sqref="Q38:Q45">
      <formula1>"MOTO,CARRO"</formula1>
    </dataValidation>
    <dataValidation type="decimal" allowBlank="1" showInputMessage="1" showErrorMessage="1" prompt="DIGITE EL NUMERO DEL MES" sqref="V10">
      <formula1>1.0</formula1>
      <formula2>12.0</formula2>
    </dataValidation>
  </dataValidations>
  <printOptions horizontalCentered="1"/>
  <pageMargins bottom="0.8661417322834646" footer="0.0" header="0.0" left="0.03937007874015748" right="0.03937007874015748" top="0.9448818897637796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8.86"/>
    <col customWidth="1" min="2" max="2" width="30.29"/>
    <col customWidth="1" min="3" max="3" width="45.86"/>
    <col customWidth="1" min="4" max="26" width="10.71"/>
  </cols>
  <sheetData>
    <row r="1" ht="108.0" customHeight="1">
      <c r="A1" s="377" t="s">
        <v>1</v>
      </c>
      <c r="B1" s="31" t="s">
        <v>140</v>
      </c>
      <c r="C1" s="378"/>
      <c r="D1" s="377"/>
      <c r="E1" s="377"/>
      <c r="F1" s="377"/>
      <c r="G1" s="377"/>
      <c r="H1" s="377"/>
      <c r="I1" s="377"/>
      <c r="J1" s="377"/>
    </row>
    <row r="2" ht="85.5" customHeight="1">
      <c r="A2" s="31" t="s">
        <v>141</v>
      </c>
      <c r="B2" s="31" t="s">
        <v>142</v>
      </c>
      <c r="C2" s="378"/>
      <c r="D2" s="31"/>
      <c r="E2" s="31"/>
      <c r="F2" s="31"/>
      <c r="G2" s="31"/>
      <c r="H2" s="31"/>
      <c r="I2" s="31"/>
      <c r="J2" s="31"/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A2 D2:J2">
      <formula1>"FEDERACIÓN NACIONAL DE CAFETEROS DE COLOMBIA,ALMACENES GENERALES DE DEPÓSITO DE CAFÉ S.A - ALMACAFÉ"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.86"/>
    <col customWidth="1" min="3" max="3" width="29.43"/>
    <col customWidth="1" min="4" max="4" width="14.86"/>
    <col customWidth="1" min="5" max="5" width="32.43"/>
    <col customWidth="1" min="6" max="6" width="16.71"/>
    <col customWidth="1" min="7" max="7" width="23.43"/>
    <col customWidth="1" min="8" max="8" width="4.71"/>
    <col customWidth="1" min="9" max="26" width="13.29"/>
  </cols>
  <sheetData>
    <row r="1" ht="12.75" customHeight="1">
      <c r="A1" s="37"/>
      <c r="B1" s="94"/>
      <c r="C1" s="94"/>
      <c r="D1" s="94"/>
      <c r="E1" s="94"/>
      <c r="F1" s="94"/>
      <c r="G1" s="94"/>
      <c r="H1" s="94"/>
      <c r="I1" s="379" t="s">
        <v>143</v>
      </c>
      <c r="J1" s="380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7.25" customHeight="1">
      <c r="A2" s="37"/>
      <c r="B2" s="94"/>
      <c r="C2" s="94"/>
      <c r="D2" s="94"/>
      <c r="E2" s="94"/>
      <c r="F2" s="94"/>
      <c r="G2" s="94"/>
      <c r="H2" s="94"/>
      <c r="I2" s="121"/>
      <c r="J2" s="381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/>
      <c r="B3" s="94"/>
      <c r="C3" s="382" t="s">
        <v>144</v>
      </c>
      <c r="D3" s="63"/>
      <c r="E3" s="63"/>
      <c r="F3" s="63"/>
      <c r="G3" s="108"/>
      <c r="H3" s="94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37"/>
      <c r="B4" s="94"/>
      <c r="C4" s="382" t="s">
        <v>145</v>
      </c>
      <c r="D4" s="63"/>
      <c r="E4" s="63"/>
      <c r="F4" s="63"/>
      <c r="G4" s="108"/>
      <c r="H4" s="94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7"/>
      <c r="B5" s="94"/>
      <c r="C5" s="94"/>
      <c r="D5" s="94"/>
      <c r="E5" s="94"/>
      <c r="F5" s="383"/>
      <c r="G5" s="94"/>
      <c r="H5" s="94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37.5" customHeight="1">
      <c r="A6" s="37"/>
      <c r="B6" s="94"/>
      <c r="C6" s="384" t="s">
        <v>146</v>
      </c>
      <c r="D6" s="63"/>
      <c r="E6" s="63"/>
      <c r="F6" s="63"/>
      <c r="G6" s="108"/>
      <c r="H6" s="385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94"/>
      <c r="C7" s="94"/>
      <c r="D7" s="94"/>
      <c r="E7" s="94"/>
      <c r="F7" s="94"/>
      <c r="G7" s="94"/>
      <c r="H7" s="94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37"/>
      <c r="B8" s="94"/>
      <c r="C8" s="386" t="s">
        <v>147</v>
      </c>
      <c r="D8" s="387">
        <f>COMISIONES!V8</f>
        <v>45748</v>
      </c>
      <c r="E8" s="94"/>
      <c r="F8" s="94" t="s">
        <v>148</v>
      </c>
      <c r="G8" s="388">
        <f>COMISIONES!N14</f>
        <v>1110462834</v>
      </c>
      <c r="H8" s="94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37"/>
      <c r="B9" s="94"/>
      <c r="C9" s="94"/>
      <c r="D9" s="94"/>
      <c r="E9" s="94" t="s">
        <v>149</v>
      </c>
      <c r="F9" s="94"/>
      <c r="G9" s="94"/>
      <c r="H9" s="94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37"/>
      <c r="B10" s="94"/>
      <c r="C10" s="389" t="s">
        <v>150</v>
      </c>
      <c r="D10" s="150"/>
      <c r="E10" s="150"/>
      <c r="F10" s="150"/>
      <c r="G10" s="157"/>
      <c r="H10" s="94"/>
      <c r="I10" s="390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37"/>
      <c r="B11" s="94"/>
      <c r="C11" s="391" t="s">
        <v>151</v>
      </c>
      <c r="D11" s="63"/>
      <c r="E11" s="63"/>
      <c r="F11" s="63"/>
      <c r="G11" s="392"/>
      <c r="H11" s="94"/>
      <c r="I11" s="390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37"/>
      <c r="B12" s="94"/>
      <c r="C12" s="393" t="s">
        <v>152</v>
      </c>
      <c r="D12" s="394" t="s">
        <v>153</v>
      </c>
      <c r="E12" s="395" t="s">
        <v>154</v>
      </c>
      <c r="F12" s="396" t="s">
        <v>155</v>
      </c>
      <c r="G12" s="396" t="s">
        <v>156</v>
      </c>
      <c r="H12" s="94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37"/>
      <c r="B13" s="94"/>
      <c r="C13" s="397"/>
      <c r="D13" s="398"/>
      <c r="E13" s="399"/>
      <c r="F13" s="400">
        <f>+COMISIONES!$M$25*'RELACION FACTURAS'!E13</f>
        <v>0</v>
      </c>
      <c r="G13" s="401">
        <f t="shared" ref="G13:G39" si="1">+F13</f>
        <v>0</v>
      </c>
      <c r="H13" s="94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37"/>
      <c r="B14" s="94"/>
      <c r="C14" s="397"/>
      <c r="D14" s="398"/>
      <c r="E14" s="399"/>
      <c r="F14" s="400">
        <f>+COMISIONES!$M$25*'RELACION FACTURAS'!E14</f>
        <v>0</v>
      </c>
      <c r="G14" s="401">
        <f t="shared" si="1"/>
        <v>0</v>
      </c>
      <c r="H14" s="94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37"/>
      <c r="B15" s="94"/>
      <c r="C15" s="397"/>
      <c r="D15" s="398"/>
      <c r="E15" s="399"/>
      <c r="F15" s="400">
        <f>+COMISIONES!$M$25*'RELACION FACTURAS'!E15</f>
        <v>0</v>
      </c>
      <c r="G15" s="401">
        <f t="shared" si="1"/>
        <v>0</v>
      </c>
      <c r="H15" s="94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37"/>
      <c r="B16" s="94"/>
      <c r="C16" s="397"/>
      <c r="D16" s="398"/>
      <c r="E16" s="399"/>
      <c r="F16" s="400">
        <f>+COMISIONES!$M$25*'RELACION FACTURAS'!E16</f>
        <v>0</v>
      </c>
      <c r="G16" s="401">
        <f t="shared" si="1"/>
        <v>0</v>
      </c>
      <c r="H16" s="94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37"/>
      <c r="B17" s="94"/>
      <c r="C17" s="397"/>
      <c r="D17" s="398"/>
      <c r="E17" s="399"/>
      <c r="F17" s="400">
        <f>+COMISIONES!$M$25*'RELACION FACTURAS'!E17</f>
        <v>0</v>
      </c>
      <c r="G17" s="401">
        <f t="shared" si="1"/>
        <v>0</v>
      </c>
      <c r="H17" s="94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/>
      <c r="B18" s="94"/>
      <c r="C18" s="397"/>
      <c r="D18" s="398"/>
      <c r="E18" s="399"/>
      <c r="F18" s="400">
        <f>+COMISIONES!$M$25*'RELACION FACTURAS'!E18</f>
        <v>0</v>
      </c>
      <c r="G18" s="401">
        <f t="shared" si="1"/>
        <v>0</v>
      </c>
      <c r="H18" s="94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94"/>
      <c r="C19" s="397"/>
      <c r="D19" s="398"/>
      <c r="E19" s="399"/>
      <c r="F19" s="400">
        <f>+COMISIONES!$M$25*'RELACION FACTURAS'!E19</f>
        <v>0</v>
      </c>
      <c r="G19" s="401">
        <f t="shared" si="1"/>
        <v>0</v>
      </c>
      <c r="H19" s="94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94"/>
      <c r="C20" s="397"/>
      <c r="D20" s="398"/>
      <c r="E20" s="399"/>
      <c r="F20" s="400">
        <f>+COMISIONES!$M$25*'RELACION FACTURAS'!E20</f>
        <v>0</v>
      </c>
      <c r="G20" s="401">
        <f t="shared" si="1"/>
        <v>0</v>
      </c>
      <c r="H20" s="94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94"/>
      <c r="C21" s="397"/>
      <c r="D21" s="398"/>
      <c r="E21" s="399"/>
      <c r="F21" s="400">
        <f>+COMISIONES!$M$25*'RELACION FACTURAS'!E21</f>
        <v>0</v>
      </c>
      <c r="G21" s="401">
        <f t="shared" si="1"/>
        <v>0</v>
      </c>
      <c r="H21" s="94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94"/>
      <c r="C22" s="397"/>
      <c r="D22" s="398"/>
      <c r="E22" s="399"/>
      <c r="F22" s="400">
        <f>+COMISIONES!$M$25*'RELACION FACTURAS'!E22</f>
        <v>0</v>
      </c>
      <c r="G22" s="401">
        <f t="shared" si="1"/>
        <v>0</v>
      </c>
      <c r="H22" s="94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94"/>
      <c r="C23" s="397"/>
      <c r="D23" s="398"/>
      <c r="E23" s="399"/>
      <c r="F23" s="400">
        <f>+COMISIONES!$M$25*'RELACION FACTURAS'!E23</f>
        <v>0</v>
      </c>
      <c r="G23" s="401">
        <f t="shared" si="1"/>
        <v>0</v>
      </c>
      <c r="H23" s="94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94"/>
      <c r="C24" s="397"/>
      <c r="D24" s="398"/>
      <c r="E24" s="399"/>
      <c r="F24" s="400">
        <f>+COMISIONES!$M$25*'RELACION FACTURAS'!E24</f>
        <v>0</v>
      </c>
      <c r="G24" s="401">
        <f t="shared" si="1"/>
        <v>0</v>
      </c>
      <c r="H24" s="94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94"/>
      <c r="C25" s="397"/>
      <c r="D25" s="398"/>
      <c r="E25" s="399"/>
      <c r="F25" s="400">
        <f>+COMISIONES!$M$25*'RELACION FACTURAS'!E25</f>
        <v>0</v>
      </c>
      <c r="G25" s="401">
        <f t="shared" si="1"/>
        <v>0</v>
      </c>
      <c r="H25" s="94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94"/>
      <c r="C26" s="397"/>
      <c r="D26" s="398"/>
      <c r="E26" s="399"/>
      <c r="F26" s="400">
        <f>+COMISIONES!$M$25*'RELACION FACTURAS'!E26</f>
        <v>0</v>
      </c>
      <c r="G26" s="401">
        <f t="shared" si="1"/>
        <v>0</v>
      </c>
      <c r="H26" s="94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94"/>
      <c r="C27" s="397"/>
      <c r="D27" s="398"/>
      <c r="E27" s="399"/>
      <c r="F27" s="400">
        <f>+COMISIONES!$M$25*'RELACION FACTURAS'!E27</f>
        <v>0</v>
      </c>
      <c r="G27" s="401">
        <f t="shared" si="1"/>
        <v>0</v>
      </c>
      <c r="H27" s="94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94"/>
      <c r="C28" s="397"/>
      <c r="D28" s="398"/>
      <c r="E28" s="399"/>
      <c r="F28" s="400">
        <f>+COMISIONES!$M$25*'RELACION FACTURAS'!E28</f>
        <v>0</v>
      </c>
      <c r="G28" s="401">
        <f t="shared" si="1"/>
        <v>0</v>
      </c>
      <c r="H28" s="94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94"/>
      <c r="C29" s="397"/>
      <c r="D29" s="398"/>
      <c r="E29" s="399"/>
      <c r="F29" s="400">
        <f>+COMISIONES!$M$25*'RELACION FACTURAS'!E29</f>
        <v>0</v>
      </c>
      <c r="G29" s="401">
        <f t="shared" si="1"/>
        <v>0</v>
      </c>
      <c r="H29" s="94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94"/>
      <c r="C30" s="397"/>
      <c r="D30" s="398"/>
      <c r="E30" s="399"/>
      <c r="F30" s="400">
        <f>+COMISIONES!$M$25*'RELACION FACTURAS'!E30</f>
        <v>0</v>
      </c>
      <c r="G30" s="401">
        <f t="shared" si="1"/>
        <v>0</v>
      </c>
      <c r="H30" s="94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94"/>
      <c r="C31" s="397"/>
      <c r="D31" s="398"/>
      <c r="E31" s="399"/>
      <c r="F31" s="400">
        <f>+COMISIONES!$M$25*'RELACION FACTURAS'!E31</f>
        <v>0</v>
      </c>
      <c r="G31" s="401">
        <f t="shared" si="1"/>
        <v>0</v>
      </c>
      <c r="H31" s="94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94"/>
      <c r="C32" s="397"/>
      <c r="D32" s="398"/>
      <c r="E32" s="399"/>
      <c r="F32" s="400">
        <f>+COMISIONES!$M$25*'RELACION FACTURAS'!E32</f>
        <v>0</v>
      </c>
      <c r="G32" s="401">
        <f t="shared" si="1"/>
        <v>0</v>
      </c>
      <c r="H32" s="94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94"/>
      <c r="C33" s="397"/>
      <c r="D33" s="398"/>
      <c r="E33" s="399"/>
      <c r="F33" s="400">
        <f>+COMISIONES!$M$25*'RELACION FACTURAS'!E33</f>
        <v>0</v>
      </c>
      <c r="G33" s="401">
        <f t="shared" si="1"/>
        <v>0</v>
      </c>
      <c r="H33" s="94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94"/>
      <c r="C34" s="397"/>
      <c r="D34" s="398"/>
      <c r="E34" s="399"/>
      <c r="F34" s="400">
        <f>+COMISIONES!$M$25*'RELACION FACTURAS'!E34</f>
        <v>0</v>
      </c>
      <c r="G34" s="401">
        <f t="shared" si="1"/>
        <v>0</v>
      </c>
      <c r="H34" s="94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94"/>
      <c r="C35" s="397"/>
      <c r="D35" s="398"/>
      <c r="E35" s="399"/>
      <c r="F35" s="400">
        <f>+COMISIONES!$M$25*'RELACION FACTURAS'!E35</f>
        <v>0</v>
      </c>
      <c r="G35" s="401">
        <f t="shared" si="1"/>
        <v>0</v>
      </c>
      <c r="H35" s="94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94"/>
      <c r="C36" s="397"/>
      <c r="D36" s="398"/>
      <c r="E36" s="399"/>
      <c r="F36" s="400">
        <f>+COMISIONES!$M$25*'RELACION FACTURAS'!E36</f>
        <v>0</v>
      </c>
      <c r="G36" s="401">
        <f t="shared" si="1"/>
        <v>0</v>
      </c>
      <c r="H36" s="94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94"/>
      <c r="C37" s="397"/>
      <c r="D37" s="398"/>
      <c r="E37" s="399"/>
      <c r="F37" s="400">
        <f>+COMISIONES!$M$25*'RELACION FACTURAS'!E37</f>
        <v>0</v>
      </c>
      <c r="G37" s="401">
        <f t="shared" si="1"/>
        <v>0</v>
      </c>
      <c r="H37" s="94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94"/>
      <c r="C38" s="397"/>
      <c r="D38" s="398"/>
      <c r="E38" s="399"/>
      <c r="F38" s="400">
        <f>+COMISIONES!$M$25*'RELACION FACTURAS'!E38</f>
        <v>0</v>
      </c>
      <c r="G38" s="401">
        <f t="shared" si="1"/>
        <v>0</v>
      </c>
      <c r="H38" s="9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94"/>
      <c r="C39" s="397"/>
      <c r="D39" s="398"/>
      <c r="E39" s="399"/>
      <c r="F39" s="400">
        <f>+COMISIONES!$M$25*'RELACION FACTURAS'!E39</f>
        <v>0</v>
      </c>
      <c r="G39" s="401">
        <f t="shared" si="1"/>
        <v>0</v>
      </c>
      <c r="H39" s="94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94"/>
      <c r="C40" s="402" t="s">
        <v>157</v>
      </c>
      <c r="D40" s="138"/>
      <c r="E40" s="403">
        <f t="shared" ref="E40:G40" si="2">SUM(E13:E39)</f>
        <v>0</v>
      </c>
      <c r="F40" s="403">
        <f t="shared" si="2"/>
        <v>0</v>
      </c>
      <c r="G40" s="403">
        <f t="shared" si="2"/>
        <v>0</v>
      </c>
      <c r="H40" s="94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94"/>
      <c r="C41" s="94"/>
      <c r="D41" s="94"/>
      <c r="E41" s="94"/>
      <c r="F41" s="94"/>
      <c r="G41" s="94"/>
      <c r="H41" s="94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94"/>
      <c r="C42" s="404" t="s">
        <v>158</v>
      </c>
      <c r="D42" s="150"/>
      <c r="E42" s="150"/>
      <c r="F42" s="150"/>
      <c r="G42" s="157"/>
      <c r="H42" s="94"/>
      <c r="I42" s="390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94"/>
      <c r="C43" s="405" t="s">
        <v>159</v>
      </c>
      <c r="D43" s="63"/>
      <c r="E43" s="63"/>
      <c r="F43" s="63"/>
      <c r="G43" s="392"/>
      <c r="H43" s="94"/>
      <c r="I43" s="390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94"/>
      <c r="C44" s="406" t="s">
        <v>160</v>
      </c>
      <c r="D44" s="59"/>
      <c r="E44" s="407" t="s">
        <v>161</v>
      </c>
      <c r="F44" s="108"/>
      <c r="G44" s="396" t="s">
        <v>156</v>
      </c>
      <c r="H44" s="94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94"/>
      <c r="C45" s="408"/>
      <c r="D45" s="59"/>
      <c r="E45" s="409"/>
      <c r="F45" s="78"/>
      <c r="G45" s="401">
        <v>0.0</v>
      </c>
      <c r="H45" s="94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94"/>
      <c r="C46" s="408"/>
      <c r="D46" s="59"/>
      <c r="E46" s="409"/>
      <c r="F46" s="78"/>
      <c r="G46" s="401">
        <v>0.0</v>
      </c>
      <c r="H46" s="94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94"/>
      <c r="C47" s="408"/>
      <c r="D47" s="59"/>
      <c r="E47" s="409"/>
      <c r="F47" s="78"/>
      <c r="G47" s="401">
        <v>0.0</v>
      </c>
      <c r="H47" s="94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94"/>
      <c r="C48" s="410"/>
      <c r="D48" s="411"/>
      <c r="E48" s="412"/>
      <c r="F48" s="413"/>
      <c r="G48" s="401">
        <v>0.0</v>
      </c>
      <c r="H48" s="94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94"/>
      <c r="C49" s="410"/>
      <c r="D49" s="411"/>
      <c r="E49" s="412"/>
      <c r="F49" s="413"/>
      <c r="G49" s="401">
        <v>0.0</v>
      </c>
      <c r="H49" s="94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94"/>
      <c r="C50" s="410"/>
      <c r="D50" s="411"/>
      <c r="E50" s="412"/>
      <c r="F50" s="413"/>
      <c r="G50" s="401">
        <v>0.0</v>
      </c>
      <c r="H50" s="94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94"/>
      <c r="C51" s="408"/>
      <c r="D51" s="59"/>
      <c r="E51" s="409"/>
      <c r="F51" s="78"/>
      <c r="G51" s="401">
        <v>0.0</v>
      </c>
      <c r="H51" s="94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94"/>
      <c r="C52" s="408"/>
      <c r="D52" s="59"/>
      <c r="E52" s="409"/>
      <c r="F52" s="78"/>
      <c r="G52" s="401">
        <v>0.0</v>
      </c>
      <c r="H52" s="94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94"/>
      <c r="C53" s="408"/>
      <c r="D53" s="59"/>
      <c r="E53" s="409"/>
      <c r="F53" s="78"/>
      <c r="G53" s="401">
        <v>0.0</v>
      </c>
      <c r="H53" s="94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94"/>
      <c r="C54" s="408"/>
      <c r="D54" s="59"/>
      <c r="E54" s="414"/>
      <c r="F54" s="59"/>
      <c r="G54" s="401">
        <v>0.0</v>
      </c>
      <c r="H54" s="94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94"/>
      <c r="C55" s="408"/>
      <c r="D55" s="59"/>
      <c r="E55" s="414"/>
      <c r="F55" s="59"/>
      <c r="G55" s="401">
        <v>0.0</v>
      </c>
      <c r="H55" s="94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94"/>
      <c r="C56" s="408"/>
      <c r="D56" s="59"/>
      <c r="E56" s="414"/>
      <c r="F56" s="59"/>
      <c r="G56" s="401">
        <v>0.0</v>
      </c>
      <c r="H56" s="94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94"/>
      <c r="C57" s="408"/>
      <c r="D57" s="59"/>
      <c r="E57" s="415"/>
      <c r="F57" s="416"/>
      <c r="G57" s="401">
        <v>0.0</v>
      </c>
      <c r="H57" s="94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94"/>
      <c r="C58" s="417" t="s">
        <v>162</v>
      </c>
      <c r="D58" s="72"/>
      <c r="E58" s="72"/>
      <c r="F58" s="76"/>
      <c r="G58" s="403">
        <f>SUM(G45:G57)</f>
        <v>0</v>
      </c>
      <c r="H58" s="94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94"/>
      <c r="C59" s="94"/>
      <c r="D59" s="94"/>
      <c r="E59" s="94"/>
      <c r="F59" s="94"/>
      <c r="G59" s="94"/>
      <c r="H59" s="94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94"/>
      <c r="C60" s="418" t="s">
        <v>163</v>
      </c>
      <c r="D60" s="137"/>
      <c r="E60" s="137"/>
      <c r="F60" s="419"/>
      <c r="G60" s="420">
        <f>G58+G40</f>
        <v>0</v>
      </c>
      <c r="H60" s="94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4.25" customHeight="1">
      <c r="A61" s="37"/>
      <c r="B61" s="94"/>
      <c r="C61" s="94"/>
      <c r="D61" s="94"/>
      <c r="E61" s="94"/>
      <c r="F61" s="94"/>
      <c r="G61" s="94"/>
      <c r="H61" s="94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6.5" customHeight="1">
      <c r="A62" s="37"/>
      <c r="B62" s="94"/>
      <c r="C62" s="421" t="s">
        <v>164</v>
      </c>
      <c r="D62" s="422"/>
      <c r="E62" s="423" t="str">
        <f>"C.C."&amp;" "&amp;+COMISIONES!N14</f>
        <v>C.C. 1110462834</v>
      </c>
      <c r="F62" s="94"/>
      <c r="G62" s="94"/>
      <c r="H62" s="94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8.0" customHeight="1">
      <c r="A63" s="37"/>
      <c r="B63" s="94"/>
      <c r="C63" s="421" t="s">
        <v>165</v>
      </c>
      <c r="D63" s="424" t="str">
        <f>COMISIONES!C14</f>
        <v>MAYRA ALEJANDRA GONZALEZ APONTE</v>
      </c>
      <c r="E63" s="28"/>
      <c r="F63" s="29"/>
      <c r="G63" s="94"/>
      <c r="H63" s="94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21.75" customHeight="1">
      <c r="A64" s="37"/>
      <c r="B64" s="94"/>
      <c r="C64" s="421" t="s">
        <v>166</v>
      </c>
      <c r="D64" s="425">
        <f>COMISIONES!N14</f>
        <v>1110462834</v>
      </c>
      <c r="E64" s="94"/>
      <c r="F64" s="94"/>
      <c r="G64" s="94"/>
      <c r="H64" s="94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94"/>
      <c r="C65" s="94"/>
      <c r="D65" s="94"/>
      <c r="E65" s="94"/>
      <c r="F65" s="94"/>
      <c r="G65" s="94"/>
      <c r="H65" s="94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36.75" customHeight="1">
      <c r="A66" s="37"/>
      <c r="B66" s="94"/>
      <c r="C66" s="426" t="s">
        <v>167</v>
      </c>
      <c r="D66" s="63"/>
      <c r="E66" s="63"/>
      <c r="F66" s="63"/>
      <c r="G66" s="108"/>
      <c r="H66" s="94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mergeCells count="35">
    <mergeCell ref="I1:J2"/>
    <mergeCell ref="C3:G3"/>
    <mergeCell ref="C4:G4"/>
    <mergeCell ref="C6:G6"/>
    <mergeCell ref="C10:G10"/>
    <mergeCell ref="C11:G11"/>
    <mergeCell ref="C40:D40"/>
    <mergeCell ref="C42:G42"/>
    <mergeCell ref="C43:G43"/>
    <mergeCell ref="C44:D44"/>
    <mergeCell ref="E44:F44"/>
    <mergeCell ref="C45:D45"/>
    <mergeCell ref="E45:F45"/>
    <mergeCell ref="E46:F46"/>
    <mergeCell ref="C46:D46"/>
    <mergeCell ref="C47:D47"/>
    <mergeCell ref="E47:F47"/>
    <mergeCell ref="C51:D51"/>
    <mergeCell ref="E51:F51"/>
    <mergeCell ref="C52:D52"/>
    <mergeCell ref="E52:F52"/>
    <mergeCell ref="C56:D56"/>
    <mergeCell ref="C57:D57"/>
    <mergeCell ref="E57:F57"/>
    <mergeCell ref="C58:F58"/>
    <mergeCell ref="C60:F60"/>
    <mergeCell ref="D63:F63"/>
    <mergeCell ref="C66:G66"/>
    <mergeCell ref="C53:D53"/>
    <mergeCell ref="E53:F53"/>
    <mergeCell ref="C54:D54"/>
    <mergeCell ref="E54:F54"/>
    <mergeCell ref="C55:D55"/>
    <mergeCell ref="E55:F55"/>
    <mergeCell ref="E56:F56"/>
  </mergeCells>
  <printOptions horizontalCentered="1"/>
  <pageMargins bottom="0.3937007874015748" footer="0.0" header="0.0" left="0.75" right="0.75" top="0.21"/>
  <pageSetup paperSize="9" orientation="portrait"/>
  <headerFooter>
    <oddFooter>&amp;RGH-FOR-12-2006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71"/>
    <col customWidth="1" min="2" max="2" width="10.71"/>
    <col customWidth="1" min="3" max="3" width="3.14"/>
    <col customWidth="1" min="4" max="4" width="3.0"/>
    <col customWidth="1" min="5" max="6" width="72.29"/>
    <col customWidth="1" min="7" max="28" width="72.71"/>
    <col customWidth="1" min="29" max="29" width="77.43"/>
  </cols>
  <sheetData>
    <row r="1" ht="12.75" customHeight="1">
      <c r="A1" s="427" t="s">
        <v>168</v>
      </c>
      <c r="B1" s="428" t="s">
        <v>169</v>
      </c>
      <c r="C1" s="428" t="s">
        <v>170</v>
      </c>
      <c r="D1" s="428" t="s">
        <v>171</v>
      </c>
      <c r="E1" s="429" t="s">
        <v>172</v>
      </c>
      <c r="F1" s="429" t="s">
        <v>173</v>
      </c>
      <c r="G1" s="428" t="s">
        <v>174</v>
      </c>
      <c r="H1" s="428" t="s">
        <v>175</v>
      </c>
      <c r="I1" s="428" t="s">
        <v>176</v>
      </c>
      <c r="J1" s="428" t="s">
        <v>177</v>
      </c>
      <c r="K1" s="428" t="s">
        <v>178</v>
      </c>
      <c r="L1" s="428" t="s">
        <v>179</v>
      </c>
      <c r="M1" s="428" t="s">
        <v>180</v>
      </c>
      <c r="N1" s="428" t="s">
        <v>181</v>
      </c>
      <c r="O1" s="428" t="s">
        <v>182</v>
      </c>
      <c r="P1" s="428" t="s">
        <v>183</v>
      </c>
      <c r="Q1" s="428" t="s">
        <v>184</v>
      </c>
      <c r="R1" s="428" t="s">
        <v>185</v>
      </c>
      <c r="S1" s="428" t="s">
        <v>186</v>
      </c>
      <c r="T1" s="428" t="s">
        <v>187</v>
      </c>
      <c r="U1" s="428" t="s">
        <v>188</v>
      </c>
      <c r="V1" s="428" t="s">
        <v>16</v>
      </c>
      <c r="W1" s="428" t="s">
        <v>189</v>
      </c>
      <c r="X1" s="428" t="s">
        <v>190</v>
      </c>
      <c r="Y1" s="428" t="s">
        <v>191</v>
      </c>
      <c r="Z1" s="428" t="s">
        <v>192</v>
      </c>
      <c r="AA1" s="428" t="s">
        <v>193</v>
      </c>
      <c r="AB1" s="428" t="s">
        <v>194</v>
      </c>
      <c r="AC1" s="428" t="s">
        <v>195</v>
      </c>
    </row>
    <row r="2" ht="12.75" customHeight="1">
      <c r="A2" s="430" t="s">
        <v>196</v>
      </c>
      <c r="B2" s="431" t="s">
        <v>197</v>
      </c>
      <c r="C2" s="432" t="s">
        <v>198</v>
      </c>
      <c r="D2" s="432" t="s">
        <v>199</v>
      </c>
      <c r="E2" s="430" t="s">
        <v>200</v>
      </c>
      <c r="F2" s="430" t="s">
        <v>201</v>
      </c>
      <c r="G2" s="430" t="s">
        <v>200</v>
      </c>
      <c r="H2" s="430" t="s">
        <v>202</v>
      </c>
      <c r="I2" s="430" t="s">
        <v>203</v>
      </c>
      <c r="J2" s="430" t="s">
        <v>204</v>
      </c>
      <c r="K2" s="430" t="s">
        <v>205</v>
      </c>
      <c r="L2" s="430" t="s">
        <v>206</v>
      </c>
      <c r="M2" s="430" t="s">
        <v>207</v>
      </c>
      <c r="N2" s="430" t="s">
        <v>206</v>
      </c>
      <c r="O2" s="430" t="s">
        <v>206</v>
      </c>
      <c r="P2" s="430" t="s">
        <v>208</v>
      </c>
      <c r="Q2" s="430" t="s">
        <v>202</v>
      </c>
      <c r="R2" s="430" t="s">
        <v>206</v>
      </c>
      <c r="S2" s="430" t="s">
        <v>206</v>
      </c>
      <c r="T2" s="430" t="s">
        <v>206</v>
      </c>
      <c r="U2" s="430" t="s">
        <v>204</v>
      </c>
      <c r="V2" s="430" t="s">
        <v>207</v>
      </c>
      <c r="W2" s="430" t="s">
        <v>206</v>
      </c>
      <c r="X2" s="430" t="s">
        <v>209</v>
      </c>
      <c r="Y2" s="430" t="s">
        <v>207</v>
      </c>
      <c r="Z2" s="430" t="s">
        <v>209</v>
      </c>
      <c r="AA2" s="433" t="s">
        <v>210</v>
      </c>
      <c r="AB2" s="430" t="s">
        <v>211</v>
      </c>
      <c r="AC2" s="430" t="s">
        <v>174</v>
      </c>
    </row>
    <row r="3" ht="12.75" customHeight="1">
      <c r="A3" s="430" t="s">
        <v>212</v>
      </c>
      <c r="B3" s="431" t="s">
        <v>197</v>
      </c>
      <c r="C3" s="432" t="s">
        <v>198</v>
      </c>
      <c r="D3" s="432" t="s">
        <v>199</v>
      </c>
      <c r="E3" s="430" t="s">
        <v>213</v>
      </c>
      <c r="F3" s="430" t="s">
        <v>201</v>
      </c>
      <c r="G3" s="430" t="s">
        <v>213</v>
      </c>
      <c r="H3" s="430" t="s">
        <v>200</v>
      </c>
      <c r="I3" s="430" t="s">
        <v>206</v>
      </c>
      <c r="J3" s="430" t="s">
        <v>214</v>
      </c>
      <c r="K3" s="430" t="s">
        <v>202</v>
      </c>
      <c r="L3" s="430" t="s">
        <v>208</v>
      </c>
      <c r="M3" s="430" t="s">
        <v>204</v>
      </c>
      <c r="N3" s="430" t="s">
        <v>204</v>
      </c>
      <c r="O3" s="430" t="s">
        <v>208</v>
      </c>
      <c r="P3" s="430" t="s">
        <v>204</v>
      </c>
      <c r="Q3" s="430" t="s">
        <v>208</v>
      </c>
      <c r="R3" s="430" t="s">
        <v>208</v>
      </c>
      <c r="S3" s="430" t="s">
        <v>208</v>
      </c>
      <c r="T3" s="430" t="s">
        <v>208</v>
      </c>
      <c r="U3" s="430" t="s">
        <v>200</v>
      </c>
      <c r="V3" s="430" t="s">
        <v>206</v>
      </c>
      <c r="W3" s="430" t="s">
        <v>208</v>
      </c>
      <c r="X3" s="430" t="s">
        <v>215</v>
      </c>
      <c r="Y3" s="430" t="s">
        <v>209</v>
      </c>
      <c r="Z3" s="430" t="s">
        <v>200</v>
      </c>
      <c r="AA3" s="433" t="s">
        <v>216</v>
      </c>
      <c r="AB3" s="430" t="s">
        <v>217</v>
      </c>
      <c r="AC3" s="431" t="s">
        <v>175</v>
      </c>
    </row>
    <row r="4" ht="12.75" customHeight="1">
      <c r="A4" s="430" t="s">
        <v>218</v>
      </c>
      <c r="B4" s="431" t="s">
        <v>197</v>
      </c>
      <c r="C4" s="432" t="s">
        <v>198</v>
      </c>
      <c r="D4" s="432" t="s">
        <v>199</v>
      </c>
      <c r="E4" s="430" t="s">
        <v>219</v>
      </c>
      <c r="F4" s="430" t="s">
        <v>201</v>
      </c>
      <c r="G4" s="430" t="s">
        <v>219</v>
      </c>
      <c r="H4" s="430" t="s">
        <v>220</v>
      </c>
      <c r="I4" s="430" t="s">
        <v>221</v>
      </c>
      <c r="J4" s="430" t="s">
        <v>222</v>
      </c>
      <c r="K4" s="430" t="s">
        <v>208</v>
      </c>
      <c r="L4" s="430" t="s">
        <v>204</v>
      </c>
      <c r="M4" s="430" t="s">
        <v>200</v>
      </c>
      <c r="N4" s="430" t="s">
        <v>200</v>
      </c>
      <c r="O4" s="430" t="s">
        <v>204</v>
      </c>
      <c r="P4" s="430" t="s">
        <v>214</v>
      </c>
      <c r="Q4" s="430" t="s">
        <v>204</v>
      </c>
      <c r="R4" s="430" t="s">
        <v>204</v>
      </c>
      <c r="S4" s="430" t="s">
        <v>204</v>
      </c>
      <c r="T4" s="430" t="s">
        <v>204</v>
      </c>
      <c r="U4" s="430" t="s">
        <v>214</v>
      </c>
      <c r="V4" s="430" t="s">
        <v>20</v>
      </c>
      <c r="W4" s="430" t="s">
        <v>204</v>
      </c>
      <c r="X4" s="430" t="s">
        <v>223</v>
      </c>
      <c r="Y4" s="430" t="s">
        <v>215</v>
      </c>
      <c r="Z4" s="430" t="s">
        <v>223</v>
      </c>
      <c r="AA4" s="433" t="s">
        <v>224</v>
      </c>
      <c r="AB4" s="430" t="s">
        <v>225</v>
      </c>
      <c r="AC4" s="430" t="s">
        <v>176</v>
      </c>
    </row>
    <row r="5" ht="12.75" customHeight="1">
      <c r="A5" s="430" t="s">
        <v>226</v>
      </c>
      <c r="B5" s="431" t="s">
        <v>197</v>
      </c>
      <c r="C5" s="432" t="s">
        <v>198</v>
      </c>
      <c r="D5" s="432" t="s">
        <v>199</v>
      </c>
      <c r="E5" s="430" t="s">
        <v>227</v>
      </c>
      <c r="F5" s="430" t="s">
        <v>201</v>
      </c>
      <c r="G5" s="430" t="s">
        <v>227</v>
      </c>
      <c r="H5" s="430" t="s">
        <v>228</v>
      </c>
      <c r="I5" s="430" t="s">
        <v>229</v>
      </c>
      <c r="J5" s="430" t="s">
        <v>230</v>
      </c>
      <c r="K5" s="430" t="s">
        <v>204</v>
      </c>
      <c r="L5" s="430" t="s">
        <v>200</v>
      </c>
      <c r="M5" s="430" t="s">
        <v>228</v>
      </c>
      <c r="N5" s="430" t="s">
        <v>214</v>
      </c>
      <c r="O5" s="430" t="s">
        <v>200</v>
      </c>
      <c r="P5" s="430" t="s">
        <v>230</v>
      </c>
      <c r="Q5" s="430" t="s">
        <v>200</v>
      </c>
      <c r="R5" s="430" t="s">
        <v>200</v>
      </c>
      <c r="S5" s="430" t="s">
        <v>200</v>
      </c>
      <c r="T5" s="430" t="s">
        <v>200</v>
      </c>
      <c r="U5" s="430" t="s">
        <v>222</v>
      </c>
      <c r="V5" s="430" t="s">
        <v>208</v>
      </c>
      <c r="W5" s="430" t="s">
        <v>200</v>
      </c>
      <c r="Y5" s="430" t="s">
        <v>223</v>
      </c>
      <c r="AA5" s="433" t="s">
        <v>231</v>
      </c>
      <c r="AB5" s="430" t="s">
        <v>232</v>
      </c>
      <c r="AC5" s="430" t="s">
        <v>177</v>
      </c>
    </row>
    <row r="6" ht="12.75" customHeight="1">
      <c r="A6" s="430" t="s">
        <v>233</v>
      </c>
      <c r="B6" s="431" t="s">
        <v>234</v>
      </c>
      <c r="C6" s="432" t="s">
        <v>235</v>
      </c>
      <c r="D6" s="432" t="s">
        <v>236</v>
      </c>
      <c r="E6" s="430" t="s">
        <v>237</v>
      </c>
      <c r="F6" s="430" t="s">
        <v>201</v>
      </c>
      <c r="G6" s="430" t="s">
        <v>237</v>
      </c>
      <c r="H6" s="430" t="s">
        <v>238</v>
      </c>
      <c r="I6" s="430" t="s">
        <v>208</v>
      </c>
      <c r="J6" s="430" t="s">
        <v>210</v>
      </c>
      <c r="K6" s="430" t="s">
        <v>200</v>
      </c>
      <c r="L6" s="430" t="s">
        <v>239</v>
      </c>
      <c r="M6" s="430" t="s">
        <v>214</v>
      </c>
      <c r="N6" s="430" t="s">
        <v>222</v>
      </c>
      <c r="O6" s="430" t="s">
        <v>239</v>
      </c>
      <c r="P6" s="430" t="s">
        <v>210</v>
      </c>
      <c r="Q6" s="430" t="s">
        <v>214</v>
      </c>
      <c r="R6" s="430" t="s">
        <v>214</v>
      </c>
      <c r="S6" s="430" t="s">
        <v>228</v>
      </c>
      <c r="T6" s="430" t="s">
        <v>214</v>
      </c>
      <c r="U6" s="430" t="s">
        <v>230</v>
      </c>
      <c r="V6" s="430" t="s">
        <v>204</v>
      </c>
      <c r="W6" s="430" t="s">
        <v>239</v>
      </c>
      <c r="AA6" s="433" t="s">
        <v>240</v>
      </c>
      <c r="AB6" s="430" t="s">
        <v>210</v>
      </c>
      <c r="AC6" s="430" t="s">
        <v>178</v>
      </c>
    </row>
    <row r="7" ht="12.75" customHeight="1">
      <c r="A7" s="430" t="s">
        <v>36</v>
      </c>
      <c r="B7" s="431" t="s">
        <v>234</v>
      </c>
      <c r="C7" s="432" t="s">
        <v>235</v>
      </c>
      <c r="D7" s="432" t="s">
        <v>236</v>
      </c>
      <c r="E7" s="430" t="s">
        <v>241</v>
      </c>
      <c r="F7" s="430" t="s">
        <v>201</v>
      </c>
      <c r="G7" s="430" t="s">
        <v>241</v>
      </c>
      <c r="H7" s="430" t="s">
        <v>242</v>
      </c>
      <c r="I7" s="430" t="s">
        <v>243</v>
      </c>
      <c r="K7" s="430" t="s">
        <v>239</v>
      </c>
      <c r="L7" s="430" t="s">
        <v>220</v>
      </c>
      <c r="M7" s="430" t="s">
        <v>230</v>
      </c>
      <c r="N7" s="430" t="s">
        <v>230</v>
      </c>
      <c r="O7" s="430" t="s">
        <v>228</v>
      </c>
      <c r="Q7" s="430" t="s">
        <v>222</v>
      </c>
      <c r="R7" s="430" t="s">
        <v>222</v>
      </c>
      <c r="S7" s="430" t="s">
        <v>214</v>
      </c>
      <c r="T7" s="430" t="s">
        <v>222</v>
      </c>
      <c r="U7" s="430" t="s">
        <v>210</v>
      </c>
      <c r="V7" s="430" t="s">
        <v>200</v>
      </c>
      <c r="W7" s="430" t="s">
        <v>228</v>
      </c>
      <c r="AA7" s="433" t="s">
        <v>244</v>
      </c>
      <c r="AC7" s="430" t="s">
        <v>179</v>
      </c>
    </row>
    <row r="8" ht="12.75" customHeight="1">
      <c r="A8" s="430" t="s">
        <v>245</v>
      </c>
      <c r="B8" s="431" t="s">
        <v>234</v>
      </c>
      <c r="C8" s="432" t="s">
        <v>235</v>
      </c>
      <c r="D8" s="432" t="s">
        <v>236</v>
      </c>
      <c r="E8" s="430" t="s">
        <v>246</v>
      </c>
      <c r="F8" s="430" t="s">
        <v>201</v>
      </c>
      <c r="G8" s="430" t="s">
        <v>246</v>
      </c>
      <c r="H8" s="430" t="s">
        <v>222</v>
      </c>
      <c r="I8" s="430" t="s">
        <v>204</v>
      </c>
      <c r="K8" s="430" t="s">
        <v>228</v>
      </c>
      <c r="L8" s="430" t="s">
        <v>228</v>
      </c>
      <c r="M8" s="430" t="s">
        <v>210</v>
      </c>
      <c r="N8" s="430" t="s">
        <v>210</v>
      </c>
      <c r="O8" s="430" t="s">
        <v>214</v>
      </c>
      <c r="Q8" s="430" t="s">
        <v>230</v>
      </c>
      <c r="R8" s="430" t="s">
        <v>230</v>
      </c>
      <c r="S8" s="430" t="s">
        <v>222</v>
      </c>
      <c r="T8" s="430" t="s">
        <v>230</v>
      </c>
      <c r="V8" s="430" t="s">
        <v>239</v>
      </c>
      <c r="W8" s="430" t="s">
        <v>247</v>
      </c>
      <c r="AA8" s="433" t="s">
        <v>248</v>
      </c>
      <c r="AC8" s="430" t="s">
        <v>180</v>
      </c>
    </row>
    <row r="9" ht="12.75" customHeight="1">
      <c r="A9" s="430" t="s">
        <v>249</v>
      </c>
      <c r="B9" s="431" t="s">
        <v>234</v>
      </c>
      <c r="C9" s="432" t="s">
        <v>235</v>
      </c>
      <c r="D9" s="432" t="s">
        <v>236</v>
      </c>
      <c r="E9" s="430" t="s">
        <v>250</v>
      </c>
      <c r="F9" s="430" t="s">
        <v>201</v>
      </c>
      <c r="G9" s="430" t="s">
        <v>250</v>
      </c>
      <c r="H9" s="430" t="s">
        <v>251</v>
      </c>
      <c r="I9" s="430" t="s">
        <v>200</v>
      </c>
      <c r="K9" s="430" t="s">
        <v>247</v>
      </c>
      <c r="L9" s="430" t="s">
        <v>214</v>
      </c>
      <c r="O9" s="430" t="s">
        <v>222</v>
      </c>
      <c r="Q9" s="430" t="s">
        <v>210</v>
      </c>
      <c r="R9" s="430" t="s">
        <v>210</v>
      </c>
      <c r="S9" s="430" t="s">
        <v>230</v>
      </c>
      <c r="T9" s="430" t="s">
        <v>210</v>
      </c>
      <c r="V9" s="430" t="s">
        <v>228</v>
      </c>
      <c r="W9" s="430" t="s">
        <v>214</v>
      </c>
      <c r="AA9" s="433" t="s">
        <v>252</v>
      </c>
      <c r="AC9" s="430" t="s">
        <v>181</v>
      </c>
    </row>
    <row r="10" ht="12.75" customHeight="1">
      <c r="A10" s="430" t="s">
        <v>253</v>
      </c>
      <c r="B10" s="431" t="s">
        <v>234</v>
      </c>
      <c r="C10" s="432" t="s">
        <v>235</v>
      </c>
      <c r="D10" s="432" t="s">
        <v>236</v>
      </c>
      <c r="E10" s="430" t="s">
        <v>254</v>
      </c>
      <c r="F10" s="430" t="s">
        <v>201</v>
      </c>
      <c r="G10" s="430" t="s">
        <v>254</v>
      </c>
      <c r="H10" s="430" t="s">
        <v>255</v>
      </c>
      <c r="I10" s="430" t="s">
        <v>239</v>
      </c>
      <c r="K10" s="430" t="s">
        <v>214</v>
      </c>
      <c r="L10" s="430" t="s">
        <v>222</v>
      </c>
      <c r="O10" s="430" t="s">
        <v>230</v>
      </c>
      <c r="S10" s="430" t="s">
        <v>210</v>
      </c>
      <c r="V10" s="430" t="s">
        <v>214</v>
      </c>
      <c r="W10" s="430" t="s">
        <v>222</v>
      </c>
      <c r="AA10" s="433" t="s">
        <v>256</v>
      </c>
      <c r="AC10" s="430" t="s">
        <v>182</v>
      </c>
    </row>
    <row r="11" ht="12.75" customHeight="1">
      <c r="A11" s="430" t="s">
        <v>257</v>
      </c>
      <c r="B11" s="431" t="s">
        <v>234</v>
      </c>
      <c r="C11" s="432" t="s">
        <v>235</v>
      </c>
      <c r="D11" s="432" t="s">
        <v>236</v>
      </c>
      <c r="E11" s="430" t="s">
        <v>202</v>
      </c>
      <c r="F11" s="430" t="s">
        <v>258</v>
      </c>
      <c r="H11" s="430" t="s">
        <v>259</v>
      </c>
      <c r="I11" s="430" t="s">
        <v>220</v>
      </c>
      <c r="K11" s="430" t="s">
        <v>222</v>
      </c>
      <c r="L11" s="430" t="s">
        <v>230</v>
      </c>
      <c r="O11" s="430" t="s">
        <v>210</v>
      </c>
      <c r="V11" s="430" t="s">
        <v>230</v>
      </c>
      <c r="W11" s="430" t="s">
        <v>230</v>
      </c>
      <c r="AA11" s="433" t="s">
        <v>260</v>
      </c>
      <c r="AC11" s="430" t="s">
        <v>183</v>
      </c>
    </row>
    <row r="12" ht="12.75" customHeight="1">
      <c r="A12" s="430" t="s">
        <v>261</v>
      </c>
      <c r="B12" s="431" t="s">
        <v>234</v>
      </c>
      <c r="C12" s="432" t="s">
        <v>235</v>
      </c>
      <c r="D12" s="432" t="s">
        <v>236</v>
      </c>
      <c r="E12" s="430" t="s">
        <v>200</v>
      </c>
      <c r="F12" s="430" t="s">
        <v>258</v>
      </c>
      <c r="H12" s="430" t="s">
        <v>262</v>
      </c>
      <c r="I12" s="430" t="s">
        <v>228</v>
      </c>
      <c r="K12" s="430" t="s">
        <v>230</v>
      </c>
      <c r="L12" s="430" t="s">
        <v>210</v>
      </c>
      <c r="V12" s="430" t="s">
        <v>210</v>
      </c>
      <c r="W12" s="430" t="s">
        <v>210</v>
      </c>
      <c r="AA12" s="433" t="s">
        <v>263</v>
      </c>
      <c r="AC12" s="430" t="s">
        <v>184</v>
      </c>
    </row>
    <row r="13" ht="12.75" customHeight="1">
      <c r="A13" s="430" t="s">
        <v>264</v>
      </c>
      <c r="B13" s="431" t="s">
        <v>234</v>
      </c>
      <c r="C13" s="432" t="s">
        <v>235</v>
      </c>
      <c r="D13" s="432" t="s">
        <v>236</v>
      </c>
      <c r="E13" s="430" t="s">
        <v>220</v>
      </c>
      <c r="F13" s="430" t="s">
        <v>258</v>
      </c>
      <c r="H13" s="430" t="s">
        <v>265</v>
      </c>
      <c r="I13" s="430" t="s">
        <v>247</v>
      </c>
      <c r="K13" s="430" t="s">
        <v>210</v>
      </c>
      <c r="AA13" s="433" t="s">
        <v>266</v>
      </c>
      <c r="AC13" s="430" t="s">
        <v>185</v>
      </c>
    </row>
    <row r="14" ht="12.75" customHeight="1">
      <c r="A14" s="430" t="s">
        <v>267</v>
      </c>
      <c r="B14" s="431" t="s">
        <v>234</v>
      </c>
      <c r="C14" s="432" t="s">
        <v>235</v>
      </c>
      <c r="D14" s="432" t="s">
        <v>236</v>
      </c>
      <c r="E14" s="430" t="s">
        <v>228</v>
      </c>
      <c r="F14" s="430" t="s">
        <v>258</v>
      </c>
      <c r="H14" s="430" t="s">
        <v>268</v>
      </c>
      <c r="I14" s="430" t="s">
        <v>269</v>
      </c>
      <c r="AA14" s="433" t="s">
        <v>270</v>
      </c>
      <c r="AC14" s="430" t="s">
        <v>186</v>
      </c>
    </row>
    <row r="15" ht="12.75" customHeight="1">
      <c r="A15" s="430" t="s">
        <v>271</v>
      </c>
      <c r="B15" s="431" t="s">
        <v>234</v>
      </c>
      <c r="C15" s="432" t="s">
        <v>235</v>
      </c>
      <c r="D15" s="432" t="s">
        <v>236</v>
      </c>
      <c r="E15" s="430" t="s">
        <v>238</v>
      </c>
      <c r="F15" s="430" t="s">
        <v>258</v>
      </c>
      <c r="H15" s="430" t="s">
        <v>272</v>
      </c>
      <c r="I15" s="430" t="s">
        <v>214</v>
      </c>
      <c r="AA15" s="433" t="s">
        <v>273</v>
      </c>
      <c r="AC15" s="430" t="s">
        <v>187</v>
      </c>
    </row>
    <row r="16" ht="12.75" customHeight="1">
      <c r="A16" s="430" t="s">
        <v>274</v>
      </c>
      <c r="B16" s="431" t="s">
        <v>234</v>
      </c>
      <c r="C16" s="432" t="s">
        <v>235</v>
      </c>
      <c r="D16" s="432" t="s">
        <v>236</v>
      </c>
      <c r="E16" s="430" t="s">
        <v>242</v>
      </c>
      <c r="F16" s="430" t="s">
        <v>258</v>
      </c>
      <c r="H16" s="430" t="s">
        <v>275</v>
      </c>
      <c r="I16" s="430" t="s">
        <v>242</v>
      </c>
      <c r="AA16" s="433" t="s">
        <v>276</v>
      </c>
      <c r="AC16" s="430" t="s">
        <v>188</v>
      </c>
    </row>
    <row r="17" ht="12.75" customHeight="1">
      <c r="A17" s="430" t="s">
        <v>277</v>
      </c>
      <c r="B17" s="431" t="s">
        <v>234</v>
      </c>
      <c r="C17" s="432" t="s">
        <v>235</v>
      </c>
      <c r="D17" s="432" t="s">
        <v>236</v>
      </c>
      <c r="E17" s="430" t="s">
        <v>222</v>
      </c>
      <c r="F17" s="430" t="s">
        <v>258</v>
      </c>
      <c r="H17" s="430" t="s">
        <v>278</v>
      </c>
      <c r="I17" s="430" t="s">
        <v>222</v>
      </c>
      <c r="AA17" s="433" t="s">
        <v>279</v>
      </c>
      <c r="AC17" s="430" t="s">
        <v>16</v>
      </c>
    </row>
    <row r="18" ht="12.75" customHeight="1">
      <c r="A18" s="430" t="s">
        <v>280</v>
      </c>
      <c r="B18" s="431" t="s">
        <v>234</v>
      </c>
      <c r="C18" s="432" t="s">
        <v>235</v>
      </c>
      <c r="D18" s="432" t="s">
        <v>236</v>
      </c>
      <c r="E18" s="430" t="s">
        <v>251</v>
      </c>
      <c r="F18" s="430" t="s">
        <v>258</v>
      </c>
      <c r="H18" s="430" t="s">
        <v>281</v>
      </c>
      <c r="I18" s="430" t="s">
        <v>230</v>
      </c>
      <c r="AA18" s="433" t="s">
        <v>282</v>
      </c>
      <c r="AC18" s="430" t="s">
        <v>189</v>
      </c>
    </row>
    <row r="19" ht="12.75" customHeight="1">
      <c r="A19" s="430" t="s">
        <v>283</v>
      </c>
      <c r="B19" s="431" t="s">
        <v>234</v>
      </c>
      <c r="C19" s="432" t="s">
        <v>235</v>
      </c>
      <c r="D19" s="432" t="s">
        <v>236</v>
      </c>
      <c r="E19" s="430" t="s">
        <v>255</v>
      </c>
      <c r="F19" s="430" t="s">
        <v>258</v>
      </c>
      <c r="H19" s="430" t="s">
        <v>284</v>
      </c>
      <c r="I19" s="430" t="s">
        <v>210</v>
      </c>
      <c r="AA19" s="433" t="s">
        <v>285</v>
      </c>
      <c r="AC19" s="430" t="s">
        <v>190</v>
      </c>
    </row>
    <row r="20" ht="12.75" customHeight="1">
      <c r="A20" s="430" t="s">
        <v>286</v>
      </c>
      <c r="B20" s="431" t="s">
        <v>234</v>
      </c>
      <c r="C20" s="432" t="s">
        <v>235</v>
      </c>
      <c r="D20" s="432" t="s">
        <v>236</v>
      </c>
      <c r="E20" s="430" t="s">
        <v>259</v>
      </c>
      <c r="F20" s="430" t="s">
        <v>258</v>
      </c>
      <c r="H20" s="430" t="s">
        <v>287</v>
      </c>
      <c r="AA20" s="433" t="s">
        <v>288</v>
      </c>
      <c r="AC20" s="430" t="s">
        <v>191</v>
      </c>
    </row>
    <row r="21" ht="12.75" customHeight="1">
      <c r="A21" s="430" t="s">
        <v>289</v>
      </c>
      <c r="B21" s="431" t="s">
        <v>234</v>
      </c>
      <c r="C21" s="432" t="s">
        <v>235</v>
      </c>
      <c r="D21" s="432" t="s">
        <v>236</v>
      </c>
      <c r="E21" s="430" t="s">
        <v>262</v>
      </c>
      <c r="F21" s="430" t="s">
        <v>258</v>
      </c>
      <c r="H21" s="430" t="s">
        <v>290</v>
      </c>
      <c r="AA21" s="433" t="s">
        <v>291</v>
      </c>
      <c r="AC21" s="430" t="s">
        <v>192</v>
      </c>
    </row>
    <row r="22" ht="12.75" customHeight="1">
      <c r="A22" s="430" t="s">
        <v>292</v>
      </c>
      <c r="B22" s="431" t="s">
        <v>234</v>
      </c>
      <c r="C22" s="432" t="s">
        <v>235</v>
      </c>
      <c r="D22" s="432" t="s">
        <v>236</v>
      </c>
      <c r="E22" s="430" t="s">
        <v>265</v>
      </c>
      <c r="F22" s="430" t="s">
        <v>258</v>
      </c>
      <c r="H22" s="430" t="s">
        <v>293</v>
      </c>
      <c r="AA22" s="433" t="s">
        <v>294</v>
      </c>
      <c r="AC22" s="430" t="s">
        <v>194</v>
      </c>
    </row>
    <row r="23" ht="12.75" customHeight="1">
      <c r="A23" s="430" t="s">
        <v>295</v>
      </c>
      <c r="B23" s="431" t="s">
        <v>234</v>
      </c>
      <c r="C23" s="432" t="s">
        <v>235</v>
      </c>
      <c r="D23" s="432" t="s">
        <v>236</v>
      </c>
      <c r="E23" s="430" t="s">
        <v>268</v>
      </c>
      <c r="F23" s="430" t="s">
        <v>258</v>
      </c>
      <c r="H23" s="430" t="s">
        <v>296</v>
      </c>
      <c r="AA23" s="433" t="s">
        <v>297</v>
      </c>
      <c r="AC23" s="431" t="s">
        <v>193</v>
      </c>
    </row>
    <row r="24" ht="12.75" customHeight="1">
      <c r="A24" s="430" t="s">
        <v>298</v>
      </c>
      <c r="B24" s="431" t="s">
        <v>234</v>
      </c>
      <c r="C24" s="432" t="s">
        <v>235</v>
      </c>
      <c r="D24" s="432" t="s">
        <v>236</v>
      </c>
      <c r="E24" s="430" t="s">
        <v>272</v>
      </c>
      <c r="F24" s="430" t="s">
        <v>258</v>
      </c>
      <c r="H24" s="430" t="s">
        <v>299</v>
      </c>
      <c r="AA24" s="433" t="s">
        <v>300</v>
      </c>
    </row>
    <row r="25" ht="12.75" customHeight="1">
      <c r="A25" s="430" t="s">
        <v>301</v>
      </c>
      <c r="B25" s="431" t="s">
        <v>234</v>
      </c>
      <c r="C25" s="432" t="s">
        <v>235</v>
      </c>
      <c r="D25" s="432" t="s">
        <v>236</v>
      </c>
      <c r="E25" s="430" t="s">
        <v>275</v>
      </c>
      <c r="F25" s="430" t="s">
        <v>258</v>
      </c>
      <c r="H25" s="430" t="s">
        <v>302</v>
      </c>
      <c r="AA25" s="433" t="s">
        <v>303</v>
      </c>
    </row>
    <row r="26" ht="12.75" customHeight="1">
      <c r="A26" s="430" t="s">
        <v>304</v>
      </c>
      <c r="B26" s="431" t="s">
        <v>234</v>
      </c>
      <c r="C26" s="432" t="s">
        <v>235</v>
      </c>
      <c r="D26" s="432" t="s">
        <v>236</v>
      </c>
      <c r="E26" s="430" t="s">
        <v>278</v>
      </c>
      <c r="F26" s="430" t="s">
        <v>258</v>
      </c>
      <c r="H26" s="430" t="s">
        <v>305</v>
      </c>
      <c r="AA26" s="433" t="s">
        <v>306</v>
      </c>
    </row>
    <row r="27" ht="12.75" customHeight="1">
      <c r="A27" s="430" t="s">
        <v>307</v>
      </c>
      <c r="B27" s="431" t="s">
        <v>234</v>
      </c>
      <c r="C27" s="432" t="s">
        <v>235</v>
      </c>
      <c r="D27" s="432" t="s">
        <v>236</v>
      </c>
      <c r="E27" s="430" t="s">
        <v>281</v>
      </c>
      <c r="F27" s="430" t="s">
        <v>258</v>
      </c>
      <c r="H27" s="430" t="s">
        <v>308</v>
      </c>
      <c r="AA27" s="433" t="s">
        <v>309</v>
      </c>
    </row>
    <row r="28" ht="12.75" customHeight="1">
      <c r="A28" s="430" t="s">
        <v>310</v>
      </c>
      <c r="B28" s="431" t="s">
        <v>234</v>
      </c>
      <c r="C28" s="432" t="s">
        <v>235</v>
      </c>
      <c r="D28" s="432" t="s">
        <v>236</v>
      </c>
      <c r="E28" s="430" t="s">
        <v>284</v>
      </c>
      <c r="F28" s="430" t="s">
        <v>258</v>
      </c>
      <c r="H28" s="430" t="s">
        <v>311</v>
      </c>
      <c r="AA28" s="433" t="s">
        <v>312</v>
      </c>
    </row>
    <row r="29" ht="12.75" customHeight="1">
      <c r="A29" s="430" t="s">
        <v>313</v>
      </c>
      <c r="B29" s="431" t="s">
        <v>234</v>
      </c>
      <c r="C29" s="432" t="s">
        <v>235</v>
      </c>
      <c r="D29" s="432" t="s">
        <v>236</v>
      </c>
      <c r="E29" s="430" t="s">
        <v>287</v>
      </c>
      <c r="F29" s="430" t="s">
        <v>258</v>
      </c>
      <c r="H29" s="430" t="s">
        <v>314</v>
      </c>
      <c r="AA29" s="433" t="s">
        <v>315</v>
      </c>
    </row>
    <row r="30" ht="12.75" customHeight="1">
      <c r="A30" s="430" t="s">
        <v>316</v>
      </c>
      <c r="B30" s="431" t="s">
        <v>234</v>
      </c>
      <c r="C30" s="432" t="s">
        <v>235</v>
      </c>
      <c r="D30" s="432" t="s">
        <v>236</v>
      </c>
      <c r="E30" s="430" t="s">
        <v>290</v>
      </c>
      <c r="F30" s="430" t="s">
        <v>258</v>
      </c>
      <c r="H30" s="430" t="s">
        <v>317</v>
      </c>
      <c r="AA30" s="433" t="s">
        <v>318</v>
      </c>
    </row>
    <row r="31" ht="12.75" customHeight="1">
      <c r="A31" s="430" t="s">
        <v>319</v>
      </c>
      <c r="B31" s="431" t="s">
        <v>234</v>
      </c>
      <c r="C31" s="432" t="s">
        <v>235</v>
      </c>
      <c r="D31" s="432" t="s">
        <v>236</v>
      </c>
      <c r="E31" s="430" t="s">
        <v>293</v>
      </c>
      <c r="F31" s="430" t="s">
        <v>258</v>
      </c>
      <c r="AA31" s="433" t="s">
        <v>320</v>
      </c>
    </row>
    <row r="32" ht="12.75" customHeight="1">
      <c r="A32" s="430" t="s">
        <v>321</v>
      </c>
      <c r="B32" s="431" t="s">
        <v>234</v>
      </c>
      <c r="C32" s="432" t="s">
        <v>235</v>
      </c>
      <c r="D32" s="432" t="s">
        <v>236</v>
      </c>
      <c r="E32" s="430" t="s">
        <v>296</v>
      </c>
      <c r="F32" s="430" t="s">
        <v>258</v>
      </c>
      <c r="AA32" s="433" t="s">
        <v>322</v>
      </c>
    </row>
    <row r="33" ht="12.75" customHeight="1">
      <c r="A33" s="430" t="s">
        <v>323</v>
      </c>
      <c r="B33" s="431" t="s">
        <v>234</v>
      </c>
      <c r="C33" s="432" t="s">
        <v>235</v>
      </c>
      <c r="D33" s="432" t="s">
        <v>236</v>
      </c>
      <c r="E33" s="430" t="s">
        <v>299</v>
      </c>
      <c r="F33" s="430" t="s">
        <v>258</v>
      </c>
      <c r="AA33" s="433" t="s">
        <v>324</v>
      </c>
    </row>
    <row r="34" ht="12.75" customHeight="1">
      <c r="A34" s="430" t="s">
        <v>325</v>
      </c>
      <c r="B34" s="431" t="s">
        <v>234</v>
      </c>
      <c r="C34" s="432" t="s">
        <v>235</v>
      </c>
      <c r="D34" s="432" t="s">
        <v>236</v>
      </c>
      <c r="E34" s="430" t="s">
        <v>302</v>
      </c>
      <c r="F34" s="430" t="s">
        <v>258</v>
      </c>
      <c r="AA34" s="433" t="s">
        <v>326</v>
      </c>
    </row>
    <row r="35" ht="12.75" customHeight="1">
      <c r="A35" s="430" t="s">
        <v>327</v>
      </c>
      <c r="B35" s="431" t="s">
        <v>234</v>
      </c>
      <c r="C35" s="432" t="s">
        <v>235</v>
      </c>
      <c r="D35" s="432" t="s">
        <v>236</v>
      </c>
      <c r="E35" s="430" t="s">
        <v>305</v>
      </c>
      <c r="F35" s="430" t="s">
        <v>258</v>
      </c>
      <c r="AA35" s="433" t="s">
        <v>328</v>
      </c>
    </row>
    <row r="36" ht="12.75" customHeight="1">
      <c r="A36" s="430" t="s">
        <v>329</v>
      </c>
      <c r="B36" s="431" t="s">
        <v>234</v>
      </c>
      <c r="C36" s="432" t="s">
        <v>235</v>
      </c>
      <c r="D36" s="432" t="s">
        <v>236</v>
      </c>
      <c r="E36" s="430" t="s">
        <v>308</v>
      </c>
      <c r="F36" s="430" t="s">
        <v>258</v>
      </c>
      <c r="AA36" s="433" t="s">
        <v>330</v>
      </c>
    </row>
    <row r="37" ht="12.75" customHeight="1">
      <c r="A37" s="430" t="s">
        <v>331</v>
      </c>
      <c r="B37" s="431" t="s">
        <v>234</v>
      </c>
      <c r="C37" s="432" t="s">
        <v>235</v>
      </c>
      <c r="D37" s="432" t="s">
        <v>236</v>
      </c>
      <c r="E37" s="430" t="s">
        <v>311</v>
      </c>
      <c r="F37" s="430" t="s">
        <v>258</v>
      </c>
      <c r="AA37" s="433" t="s">
        <v>332</v>
      </c>
    </row>
    <row r="38" ht="12.75" customHeight="1">
      <c r="A38" s="430" t="s">
        <v>333</v>
      </c>
      <c r="B38" s="431" t="s">
        <v>234</v>
      </c>
      <c r="C38" s="432" t="s">
        <v>235</v>
      </c>
      <c r="D38" s="432" t="s">
        <v>236</v>
      </c>
      <c r="E38" s="430" t="s">
        <v>314</v>
      </c>
      <c r="F38" s="430" t="s">
        <v>258</v>
      </c>
      <c r="AA38" s="433" t="s">
        <v>334</v>
      </c>
    </row>
    <row r="39" ht="12.75" customHeight="1">
      <c r="A39" s="430" t="s">
        <v>335</v>
      </c>
      <c r="B39" s="431" t="s">
        <v>234</v>
      </c>
      <c r="C39" s="432" t="s">
        <v>235</v>
      </c>
      <c r="D39" s="432" t="s">
        <v>236</v>
      </c>
      <c r="E39" s="430" t="s">
        <v>317</v>
      </c>
      <c r="F39" s="430" t="s">
        <v>258</v>
      </c>
      <c r="AA39" s="430" t="s">
        <v>336</v>
      </c>
    </row>
    <row r="40" ht="12.75" customHeight="1">
      <c r="A40" s="430" t="s">
        <v>337</v>
      </c>
      <c r="B40" s="431" t="s">
        <v>234</v>
      </c>
      <c r="C40" s="432" t="s">
        <v>235</v>
      </c>
      <c r="D40" s="432" t="s">
        <v>236</v>
      </c>
      <c r="E40" s="430" t="s">
        <v>203</v>
      </c>
      <c r="F40" s="430" t="s">
        <v>338</v>
      </c>
      <c r="AA40" s="430" t="s">
        <v>339</v>
      </c>
    </row>
    <row r="41" ht="12.75" customHeight="1">
      <c r="A41" s="430" t="s">
        <v>340</v>
      </c>
      <c r="B41" s="431" t="s">
        <v>234</v>
      </c>
      <c r="C41" s="432" t="s">
        <v>235</v>
      </c>
      <c r="D41" s="432" t="s">
        <v>236</v>
      </c>
      <c r="E41" s="430" t="s">
        <v>206</v>
      </c>
      <c r="F41" s="430" t="s">
        <v>338</v>
      </c>
      <c r="AA41" s="430" t="s">
        <v>341</v>
      </c>
    </row>
    <row r="42" ht="12.75" customHeight="1">
      <c r="A42" s="430" t="s">
        <v>342</v>
      </c>
      <c r="B42" s="431" t="s">
        <v>234</v>
      </c>
      <c r="C42" s="432" t="s">
        <v>235</v>
      </c>
      <c r="D42" s="432" t="s">
        <v>236</v>
      </c>
      <c r="E42" s="430" t="s">
        <v>221</v>
      </c>
      <c r="F42" s="430" t="s">
        <v>338</v>
      </c>
      <c r="AA42" s="430" t="s">
        <v>343</v>
      </c>
    </row>
    <row r="43" ht="12.75" customHeight="1">
      <c r="A43" s="430" t="s">
        <v>344</v>
      </c>
      <c r="B43" s="431" t="s">
        <v>234</v>
      </c>
      <c r="C43" s="432" t="s">
        <v>235</v>
      </c>
      <c r="D43" s="432" t="s">
        <v>236</v>
      </c>
      <c r="E43" s="430" t="s">
        <v>229</v>
      </c>
      <c r="F43" s="430" t="s">
        <v>338</v>
      </c>
      <c r="AA43" s="430" t="s">
        <v>345</v>
      </c>
    </row>
    <row r="44" ht="12.75" customHeight="1">
      <c r="A44" s="430" t="s">
        <v>346</v>
      </c>
      <c r="B44" s="431" t="s">
        <v>234</v>
      </c>
      <c r="C44" s="432" t="s">
        <v>235</v>
      </c>
      <c r="D44" s="432" t="s">
        <v>236</v>
      </c>
      <c r="E44" s="430" t="s">
        <v>208</v>
      </c>
      <c r="F44" s="430" t="s">
        <v>338</v>
      </c>
      <c r="AA44" s="430" t="s">
        <v>347</v>
      </c>
    </row>
    <row r="45" ht="12.75" customHeight="1">
      <c r="A45" s="430" t="s">
        <v>348</v>
      </c>
      <c r="B45" s="431" t="s">
        <v>234</v>
      </c>
      <c r="C45" s="432" t="s">
        <v>235</v>
      </c>
      <c r="D45" s="432" t="s">
        <v>236</v>
      </c>
      <c r="E45" s="430" t="s">
        <v>243</v>
      </c>
      <c r="F45" s="430" t="s">
        <v>338</v>
      </c>
      <c r="AA45" s="430" t="s">
        <v>349</v>
      </c>
    </row>
    <row r="46" ht="12.75" customHeight="1">
      <c r="A46" s="430" t="s">
        <v>350</v>
      </c>
      <c r="B46" s="431" t="s">
        <v>234</v>
      </c>
      <c r="C46" s="432" t="s">
        <v>235</v>
      </c>
      <c r="D46" s="432" t="s">
        <v>236</v>
      </c>
      <c r="E46" s="430" t="s">
        <v>204</v>
      </c>
      <c r="F46" s="430" t="s">
        <v>338</v>
      </c>
      <c r="AA46" s="430" t="s">
        <v>351</v>
      </c>
    </row>
    <row r="47" ht="12.75" customHeight="1">
      <c r="A47" s="430" t="s">
        <v>352</v>
      </c>
      <c r="B47" s="431" t="s">
        <v>234</v>
      </c>
      <c r="C47" s="432" t="s">
        <v>235</v>
      </c>
      <c r="D47" s="432" t="s">
        <v>236</v>
      </c>
      <c r="E47" s="430" t="s">
        <v>200</v>
      </c>
      <c r="F47" s="430" t="s">
        <v>338</v>
      </c>
      <c r="AA47" s="430" t="s">
        <v>210</v>
      </c>
    </row>
    <row r="48" ht="12.75" customHeight="1">
      <c r="A48" s="430" t="s">
        <v>353</v>
      </c>
      <c r="B48" s="431" t="s">
        <v>234</v>
      </c>
      <c r="C48" s="432" t="s">
        <v>235</v>
      </c>
      <c r="D48" s="432" t="s">
        <v>236</v>
      </c>
      <c r="E48" s="430" t="s">
        <v>239</v>
      </c>
      <c r="F48" s="430" t="s">
        <v>338</v>
      </c>
      <c r="AA48" s="430" t="s">
        <v>354</v>
      </c>
    </row>
    <row r="49" ht="12.75" customHeight="1">
      <c r="A49" s="430" t="s">
        <v>355</v>
      </c>
      <c r="B49" s="430" t="s">
        <v>356</v>
      </c>
      <c r="E49" s="430" t="s">
        <v>220</v>
      </c>
      <c r="F49" s="430" t="s">
        <v>338</v>
      </c>
    </row>
    <row r="50" ht="12.75" customHeight="1">
      <c r="A50" s="430" t="s">
        <v>357</v>
      </c>
      <c r="B50" s="431" t="s">
        <v>358</v>
      </c>
      <c r="C50" s="434" t="s">
        <v>359</v>
      </c>
      <c r="D50" s="434" t="s">
        <v>360</v>
      </c>
      <c r="E50" s="430" t="s">
        <v>228</v>
      </c>
      <c r="F50" s="430" t="s">
        <v>338</v>
      </c>
    </row>
    <row r="51" ht="12.75" customHeight="1">
      <c r="A51" s="430" t="s">
        <v>361</v>
      </c>
      <c r="B51" s="431" t="s">
        <v>358</v>
      </c>
      <c r="C51" s="434" t="s">
        <v>359</v>
      </c>
      <c r="D51" s="434" t="s">
        <v>360</v>
      </c>
      <c r="E51" s="430" t="s">
        <v>247</v>
      </c>
      <c r="F51" s="430" t="s">
        <v>338</v>
      </c>
    </row>
    <row r="52" ht="12.75" customHeight="1">
      <c r="A52" s="430" t="s">
        <v>362</v>
      </c>
      <c r="B52" s="431" t="s">
        <v>358</v>
      </c>
      <c r="C52" s="434" t="s">
        <v>359</v>
      </c>
      <c r="D52" s="434" t="s">
        <v>360</v>
      </c>
      <c r="E52" s="430" t="s">
        <v>269</v>
      </c>
      <c r="F52" s="430" t="s">
        <v>338</v>
      </c>
    </row>
    <row r="53" ht="12.75" customHeight="1">
      <c r="A53" s="430" t="s">
        <v>363</v>
      </c>
      <c r="B53" s="431" t="s">
        <v>234</v>
      </c>
      <c r="C53" s="432" t="s">
        <v>235</v>
      </c>
      <c r="D53" s="432" t="s">
        <v>236</v>
      </c>
      <c r="E53" s="430" t="s">
        <v>214</v>
      </c>
      <c r="F53" s="430" t="s">
        <v>338</v>
      </c>
    </row>
    <row r="54" ht="12.75" customHeight="1">
      <c r="A54" s="430" t="s">
        <v>364</v>
      </c>
      <c r="B54" s="431" t="s">
        <v>197</v>
      </c>
      <c r="C54" s="432" t="s">
        <v>198</v>
      </c>
      <c r="D54" s="432" t="s">
        <v>199</v>
      </c>
      <c r="E54" s="430" t="s">
        <v>242</v>
      </c>
      <c r="F54" s="430" t="s">
        <v>338</v>
      </c>
    </row>
    <row r="55" ht="12.75" customHeight="1">
      <c r="A55" s="430" t="s">
        <v>365</v>
      </c>
      <c r="B55" s="431" t="s">
        <v>234</v>
      </c>
      <c r="C55" s="432" t="s">
        <v>235</v>
      </c>
      <c r="D55" s="432" t="s">
        <v>236</v>
      </c>
      <c r="E55" s="430" t="s">
        <v>222</v>
      </c>
      <c r="F55" s="430" t="s">
        <v>338</v>
      </c>
    </row>
    <row r="56" ht="12.75" customHeight="1">
      <c r="A56" s="430" t="s">
        <v>366</v>
      </c>
      <c r="B56" s="431" t="s">
        <v>234</v>
      </c>
      <c r="C56" s="432" t="s">
        <v>235</v>
      </c>
      <c r="D56" s="432" t="s">
        <v>236</v>
      </c>
      <c r="E56" s="430" t="s">
        <v>230</v>
      </c>
      <c r="F56" s="430" t="s">
        <v>338</v>
      </c>
    </row>
    <row r="57" ht="12.75" customHeight="1">
      <c r="A57" s="430" t="s">
        <v>367</v>
      </c>
      <c r="B57" s="431" t="s">
        <v>358</v>
      </c>
      <c r="C57" s="434" t="s">
        <v>359</v>
      </c>
      <c r="D57" s="434" t="s">
        <v>360</v>
      </c>
      <c r="E57" s="430" t="s">
        <v>210</v>
      </c>
      <c r="F57" s="430" t="s">
        <v>338</v>
      </c>
    </row>
    <row r="58" ht="12.75" customHeight="1">
      <c r="A58" s="430" t="s">
        <v>368</v>
      </c>
      <c r="B58" s="431" t="s">
        <v>234</v>
      </c>
      <c r="C58" s="432" t="s">
        <v>235</v>
      </c>
      <c r="D58" s="432" t="s">
        <v>236</v>
      </c>
      <c r="E58" s="430" t="s">
        <v>204</v>
      </c>
      <c r="F58" s="430" t="s">
        <v>369</v>
      </c>
    </row>
    <row r="59" ht="12.75" customHeight="1">
      <c r="A59" s="430" t="s">
        <v>370</v>
      </c>
      <c r="B59" s="431" t="s">
        <v>197</v>
      </c>
      <c r="C59" s="432" t="s">
        <v>198</v>
      </c>
      <c r="D59" s="432" t="s">
        <v>199</v>
      </c>
      <c r="E59" s="430" t="s">
        <v>214</v>
      </c>
      <c r="F59" s="430" t="s">
        <v>369</v>
      </c>
    </row>
    <row r="60" ht="12.75" customHeight="1">
      <c r="A60" s="430" t="s">
        <v>371</v>
      </c>
      <c r="B60" s="431" t="s">
        <v>234</v>
      </c>
      <c r="C60" s="432" t="s">
        <v>235</v>
      </c>
      <c r="D60" s="432" t="s">
        <v>236</v>
      </c>
      <c r="E60" s="430" t="s">
        <v>222</v>
      </c>
      <c r="F60" s="430" t="s">
        <v>369</v>
      </c>
    </row>
    <row r="61" ht="12.75" customHeight="1">
      <c r="A61" s="430" t="s">
        <v>372</v>
      </c>
      <c r="B61" s="431" t="s">
        <v>234</v>
      </c>
      <c r="C61" s="432" t="s">
        <v>235</v>
      </c>
      <c r="D61" s="432" t="s">
        <v>236</v>
      </c>
      <c r="E61" s="430" t="s">
        <v>230</v>
      </c>
      <c r="F61" s="430" t="s">
        <v>369</v>
      </c>
    </row>
    <row r="62" ht="12.75" customHeight="1">
      <c r="A62" s="430" t="s">
        <v>373</v>
      </c>
      <c r="B62" s="431" t="s">
        <v>234</v>
      </c>
      <c r="C62" s="432" t="s">
        <v>235</v>
      </c>
      <c r="D62" s="432" t="s">
        <v>236</v>
      </c>
      <c r="E62" s="430" t="s">
        <v>210</v>
      </c>
      <c r="F62" s="430" t="s">
        <v>369</v>
      </c>
    </row>
    <row r="63" ht="12.75" customHeight="1">
      <c r="A63" s="430" t="s">
        <v>374</v>
      </c>
      <c r="B63" s="431" t="s">
        <v>234</v>
      </c>
      <c r="C63" s="432" t="s">
        <v>235</v>
      </c>
      <c r="D63" s="432" t="s">
        <v>236</v>
      </c>
      <c r="E63" s="430" t="s">
        <v>205</v>
      </c>
      <c r="F63" s="430" t="s">
        <v>375</v>
      </c>
    </row>
    <row r="64" ht="12.75" customHeight="1">
      <c r="A64" s="430" t="s">
        <v>376</v>
      </c>
      <c r="B64" s="431" t="s">
        <v>234</v>
      </c>
      <c r="C64" s="432" t="s">
        <v>235</v>
      </c>
      <c r="D64" s="432" t="s">
        <v>236</v>
      </c>
      <c r="E64" s="430" t="s">
        <v>202</v>
      </c>
      <c r="F64" s="430" t="s">
        <v>375</v>
      </c>
    </row>
    <row r="65" ht="12.75" customHeight="1">
      <c r="A65" s="430" t="s">
        <v>377</v>
      </c>
      <c r="B65" s="431" t="s">
        <v>234</v>
      </c>
      <c r="C65" s="432" t="s">
        <v>235</v>
      </c>
      <c r="D65" s="432" t="s">
        <v>236</v>
      </c>
      <c r="E65" s="430" t="s">
        <v>208</v>
      </c>
      <c r="F65" s="430" t="s">
        <v>375</v>
      </c>
    </row>
    <row r="66" ht="12.75" customHeight="1">
      <c r="A66" s="430" t="s">
        <v>378</v>
      </c>
      <c r="B66" s="431" t="s">
        <v>234</v>
      </c>
      <c r="C66" s="432" t="s">
        <v>235</v>
      </c>
      <c r="D66" s="432" t="s">
        <v>236</v>
      </c>
      <c r="E66" s="430" t="s">
        <v>204</v>
      </c>
      <c r="F66" s="430" t="s">
        <v>375</v>
      </c>
    </row>
    <row r="67" ht="12.75" customHeight="1">
      <c r="A67" s="430" t="s">
        <v>379</v>
      </c>
      <c r="B67" s="431" t="s">
        <v>234</v>
      </c>
      <c r="C67" s="432" t="s">
        <v>235</v>
      </c>
      <c r="D67" s="432" t="s">
        <v>236</v>
      </c>
      <c r="E67" s="430" t="s">
        <v>200</v>
      </c>
      <c r="F67" s="430" t="s">
        <v>375</v>
      </c>
    </row>
    <row r="68" ht="12.75" customHeight="1">
      <c r="A68" s="430" t="s">
        <v>380</v>
      </c>
      <c r="B68" s="430" t="s">
        <v>381</v>
      </c>
      <c r="E68" s="430" t="s">
        <v>239</v>
      </c>
      <c r="F68" s="430" t="s">
        <v>375</v>
      </c>
    </row>
    <row r="69" ht="12.75" customHeight="1">
      <c r="A69" s="430" t="s">
        <v>382</v>
      </c>
      <c r="B69" s="431" t="s">
        <v>234</v>
      </c>
      <c r="C69" s="432" t="s">
        <v>235</v>
      </c>
      <c r="D69" s="432" t="s">
        <v>236</v>
      </c>
      <c r="E69" s="430" t="s">
        <v>228</v>
      </c>
      <c r="F69" s="430" t="s">
        <v>375</v>
      </c>
    </row>
    <row r="70" ht="12.75" customHeight="1">
      <c r="A70" s="430" t="s">
        <v>383</v>
      </c>
      <c r="B70" s="431" t="s">
        <v>234</v>
      </c>
      <c r="C70" s="432" t="s">
        <v>235</v>
      </c>
      <c r="D70" s="432" t="s">
        <v>236</v>
      </c>
      <c r="E70" s="430" t="s">
        <v>247</v>
      </c>
      <c r="F70" s="430" t="s">
        <v>375</v>
      </c>
    </row>
    <row r="71" ht="12.75" customHeight="1">
      <c r="A71" s="430" t="s">
        <v>384</v>
      </c>
      <c r="B71" s="431" t="s">
        <v>234</v>
      </c>
      <c r="C71" s="432" t="s">
        <v>235</v>
      </c>
      <c r="D71" s="432" t="s">
        <v>236</v>
      </c>
      <c r="E71" s="430" t="s">
        <v>214</v>
      </c>
      <c r="F71" s="430" t="s">
        <v>375</v>
      </c>
    </row>
    <row r="72" ht="12.75" customHeight="1">
      <c r="A72" s="430" t="s">
        <v>385</v>
      </c>
      <c r="B72" s="431" t="s">
        <v>234</v>
      </c>
      <c r="C72" s="432" t="s">
        <v>235</v>
      </c>
      <c r="D72" s="432" t="s">
        <v>236</v>
      </c>
      <c r="E72" s="430" t="s">
        <v>222</v>
      </c>
      <c r="F72" s="430" t="s">
        <v>375</v>
      </c>
    </row>
    <row r="73" ht="12.75" customHeight="1">
      <c r="A73" s="430" t="s">
        <v>386</v>
      </c>
      <c r="B73" s="431" t="s">
        <v>234</v>
      </c>
      <c r="C73" s="432" t="s">
        <v>235</v>
      </c>
      <c r="D73" s="432" t="s">
        <v>236</v>
      </c>
      <c r="E73" s="430" t="s">
        <v>230</v>
      </c>
      <c r="F73" s="430" t="s">
        <v>375</v>
      </c>
    </row>
    <row r="74" ht="12.75" customHeight="1">
      <c r="A74" s="430" t="s">
        <v>387</v>
      </c>
      <c r="B74" s="431" t="s">
        <v>234</v>
      </c>
      <c r="C74" s="432" t="s">
        <v>235</v>
      </c>
      <c r="D74" s="432" t="s">
        <v>236</v>
      </c>
      <c r="E74" s="430" t="s">
        <v>210</v>
      </c>
      <c r="F74" s="430" t="s">
        <v>375</v>
      </c>
    </row>
    <row r="75" ht="12.75" customHeight="1">
      <c r="A75" s="430" t="s">
        <v>388</v>
      </c>
      <c r="B75" s="431" t="s">
        <v>234</v>
      </c>
      <c r="C75" s="432" t="s">
        <v>235</v>
      </c>
      <c r="D75" s="432" t="s">
        <v>236</v>
      </c>
      <c r="E75" s="430" t="s">
        <v>206</v>
      </c>
      <c r="F75" s="430" t="s">
        <v>389</v>
      </c>
    </row>
    <row r="76" ht="12.75" customHeight="1">
      <c r="A76" s="430" t="s">
        <v>390</v>
      </c>
      <c r="B76" s="431" t="s">
        <v>234</v>
      </c>
      <c r="C76" s="432" t="s">
        <v>235</v>
      </c>
      <c r="D76" s="432" t="s">
        <v>236</v>
      </c>
      <c r="E76" s="430" t="s">
        <v>208</v>
      </c>
      <c r="F76" s="430" t="s">
        <v>389</v>
      </c>
    </row>
    <row r="77" ht="12.75" customHeight="1">
      <c r="A77" s="430" t="s">
        <v>391</v>
      </c>
      <c r="B77" s="431" t="s">
        <v>234</v>
      </c>
      <c r="C77" s="432" t="s">
        <v>235</v>
      </c>
      <c r="D77" s="432" t="s">
        <v>236</v>
      </c>
      <c r="E77" s="430" t="s">
        <v>204</v>
      </c>
      <c r="F77" s="430" t="s">
        <v>389</v>
      </c>
    </row>
    <row r="78" ht="12.75" customHeight="1">
      <c r="A78" s="430" t="s">
        <v>392</v>
      </c>
      <c r="B78" s="431" t="s">
        <v>234</v>
      </c>
      <c r="C78" s="432" t="s">
        <v>235</v>
      </c>
      <c r="D78" s="432" t="s">
        <v>236</v>
      </c>
      <c r="E78" s="430" t="s">
        <v>200</v>
      </c>
      <c r="F78" s="430" t="s">
        <v>389</v>
      </c>
    </row>
    <row r="79" ht="12.75" customHeight="1">
      <c r="A79" s="430" t="s">
        <v>393</v>
      </c>
      <c r="B79" s="431" t="s">
        <v>234</v>
      </c>
      <c r="C79" s="432" t="s">
        <v>235</v>
      </c>
      <c r="D79" s="432" t="s">
        <v>236</v>
      </c>
      <c r="E79" s="430" t="s">
        <v>239</v>
      </c>
      <c r="F79" s="430" t="s">
        <v>389</v>
      </c>
    </row>
    <row r="80" ht="12.75" customHeight="1">
      <c r="A80" s="430" t="s">
        <v>394</v>
      </c>
      <c r="B80" s="431" t="s">
        <v>234</v>
      </c>
      <c r="C80" s="432" t="s">
        <v>235</v>
      </c>
      <c r="D80" s="432" t="s">
        <v>236</v>
      </c>
      <c r="E80" s="430" t="s">
        <v>220</v>
      </c>
      <c r="F80" s="430" t="s">
        <v>389</v>
      </c>
    </row>
    <row r="81" ht="12.75" customHeight="1">
      <c r="A81" s="430" t="s">
        <v>395</v>
      </c>
      <c r="B81" s="431" t="s">
        <v>234</v>
      </c>
      <c r="C81" s="432" t="s">
        <v>235</v>
      </c>
      <c r="D81" s="432" t="s">
        <v>236</v>
      </c>
      <c r="E81" s="430" t="s">
        <v>228</v>
      </c>
      <c r="F81" s="430" t="s">
        <v>389</v>
      </c>
    </row>
    <row r="82" ht="12.75" customHeight="1">
      <c r="A82" s="430" t="s">
        <v>396</v>
      </c>
      <c r="B82" s="431" t="s">
        <v>234</v>
      </c>
      <c r="C82" s="432" t="s">
        <v>235</v>
      </c>
      <c r="D82" s="432" t="s">
        <v>236</v>
      </c>
      <c r="E82" s="430" t="s">
        <v>214</v>
      </c>
      <c r="F82" s="430" t="s">
        <v>389</v>
      </c>
    </row>
    <row r="83" ht="12.75" customHeight="1">
      <c r="A83" s="430" t="s">
        <v>397</v>
      </c>
      <c r="B83" s="431" t="s">
        <v>234</v>
      </c>
      <c r="C83" s="432" t="s">
        <v>235</v>
      </c>
      <c r="D83" s="432" t="s">
        <v>236</v>
      </c>
      <c r="E83" s="430" t="s">
        <v>222</v>
      </c>
      <c r="F83" s="430" t="s">
        <v>389</v>
      </c>
    </row>
    <row r="84" ht="12.75" customHeight="1">
      <c r="A84" s="430" t="s">
        <v>398</v>
      </c>
      <c r="B84" s="431" t="s">
        <v>234</v>
      </c>
      <c r="C84" s="432" t="s">
        <v>235</v>
      </c>
      <c r="D84" s="432" t="s">
        <v>236</v>
      </c>
      <c r="E84" s="430" t="s">
        <v>230</v>
      </c>
      <c r="F84" s="430" t="s">
        <v>389</v>
      </c>
    </row>
    <row r="85" ht="12.75" customHeight="1">
      <c r="A85" s="430" t="s">
        <v>399</v>
      </c>
      <c r="B85" s="431" t="s">
        <v>234</v>
      </c>
      <c r="C85" s="432" t="s">
        <v>235</v>
      </c>
      <c r="D85" s="432" t="s">
        <v>236</v>
      </c>
      <c r="E85" s="430" t="s">
        <v>210</v>
      </c>
      <c r="F85" s="430" t="s">
        <v>389</v>
      </c>
    </row>
    <row r="86" ht="12.75" customHeight="1">
      <c r="A86" s="430" t="s">
        <v>400</v>
      </c>
      <c r="B86" s="431" t="s">
        <v>234</v>
      </c>
      <c r="C86" s="432" t="s">
        <v>235</v>
      </c>
      <c r="D86" s="432" t="s">
        <v>236</v>
      </c>
      <c r="E86" s="430" t="s">
        <v>207</v>
      </c>
      <c r="F86" s="430" t="s">
        <v>401</v>
      </c>
    </row>
    <row r="87" ht="12.75" customHeight="1">
      <c r="A87" s="430" t="s">
        <v>402</v>
      </c>
      <c r="B87" s="431" t="s">
        <v>234</v>
      </c>
      <c r="C87" s="432" t="s">
        <v>235</v>
      </c>
      <c r="D87" s="432" t="s">
        <v>236</v>
      </c>
      <c r="E87" s="430" t="s">
        <v>204</v>
      </c>
      <c r="F87" s="430" t="s">
        <v>401</v>
      </c>
    </row>
    <row r="88" ht="12.75" customHeight="1">
      <c r="A88" s="430" t="s">
        <v>403</v>
      </c>
      <c r="B88" s="431" t="s">
        <v>234</v>
      </c>
      <c r="C88" s="432" t="s">
        <v>235</v>
      </c>
      <c r="D88" s="432" t="s">
        <v>236</v>
      </c>
      <c r="E88" s="430" t="s">
        <v>200</v>
      </c>
      <c r="F88" s="430" t="s">
        <v>401</v>
      </c>
    </row>
    <row r="89" ht="12.75" customHeight="1">
      <c r="A89" s="430" t="s">
        <v>404</v>
      </c>
      <c r="B89" s="431" t="s">
        <v>234</v>
      </c>
      <c r="C89" s="432" t="s">
        <v>235</v>
      </c>
      <c r="D89" s="432" t="s">
        <v>236</v>
      </c>
      <c r="E89" s="430" t="s">
        <v>228</v>
      </c>
      <c r="F89" s="430" t="s">
        <v>401</v>
      </c>
    </row>
    <row r="90" ht="12.75" customHeight="1">
      <c r="A90" s="430" t="s">
        <v>405</v>
      </c>
      <c r="B90" s="431" t="s">
        <v>234</v>
      </c>
      <c r="C90" s="432" t="s">
        <v>235</v>
      </c>
      <c r="D90" s="432" t="s">
        <v>236</v>
      </c>
      <c r="E90" s="430" t="s">
        <v>214</v>
      </c>
      <c r="F90" s="430" t="s">
        <v>401</v>
      </c>
    </row>
    <row r="91" ht="12.75" customHeight="1">
      <c r="A91" s="430" t="s">
        <v>406</v>
      </c>
      <c r="B91" s="431" t="s">
        <v>234</v>
      </c>
      <c r="C91" s="432" t="s">
        <v>235</v>
      </c>
      <c r="D91" s="432" t="s">
        <v>236</v>
      </c>
      <c r="E91" s="430" t="s">
        <v>230</v>
      </c>
      <c r="F91" s="430" t="s">
        <v>401</v>
      </c>
    </row>
    <row r="92" ht="12.75" customHeight="1">
      <c r="A92" s="430" t="s">
        <v>407</v>
      </c>
      <c r="B92" s="431" t="s">
        <v>234</v>
      </c>
      <c r="C92" s="432" t="s">
        <v>235</v>
      </c>
      <c r="D92" s="432" t="s">
        <v>236</v>
      </c>
      <c r="E92" s="430" t="s">
        <v>210</v>
      </c>
      <c r="F92" s="430" t="s">
        <v>401</v>
      </c>
    </row>
    <row r="93" ht="12.75" customHeight="1">
      <c r="A93" s="430" t="s">
        <v>408</v>
      </c>
      <c r="B93" s="431" t="s">
        <v>358</v>
      </c>
      <c r="C93" s="434" t="s">
        <v>359</v>
      </c>
      <c r="D93" s="434" t="s">
        <v>360</v>
      </c>
      <c r="E93" s="430" t="s">
        <v>206</v>
      </c>
      <c r="F93" s="430" t="s">
        <v>409</v>
      </c>
    </row>
    <row r="94" ht="12.75" customHeight="1">
      <c r="A94" s="430" t="s">
        <v>410</v>
      </c>
      <c r="B94" s="431" t="s">
        <v>197</v>
      </c>
      <c r="C94" s="432" t="s">
        <v>198</v>
      </c>
      <c r="D94" s="432" t="s">
        <v>199</v>
      </c>
      <c r="E94" s="430" t="s">
        <v>204</v>
      </c>
      <c r="F94" s="430" t="s">
        <v>409</v>
      </c>
    </row>
    <row r="95" ht="12.75" customHeight="1">
      <c r="A95" s="430" t="s">
        <v>411</v>
      </c>
      <c r="B95" s="431" t="s">
        <v>197</v>
      </c>
      <c r="C95" s="432" t="s">
        <v>198</v>
      </c>
      <c r="D95" s="432" t="s">
        <v>199</v>
      </c>
      <c r="E95" s="430" t="s">
        <v>200</v>
      </c>
      <c r="F95" s="430" t="s">
        <v>409</v>
      </c>
    </row>
    <row r="96" ht="12.75" customHeight="1">
      <c r="A96" s="430" t="s">
        <v>412</v>
      </c>
      <c r="B96" s="431" t="s">
        <v>197</v>
      </c>
      <c r="C96" s="432" t="s">
        <v>198</v>
      </c>
      <c r="D96" s="432" t="s">
        <v>199</v>
      </c>
      <c r="E96" s="430" t="s">
        <v>214</v>
      </c>
      <c r="F96" s="430" t="s">
        <v>409</v>
      </c>
    </row>
    <row r="97" ht="12.75" customHeight="1">
      <c r="A97" s="430" t="s">
        <v>413</v>
      </c>
      <c r="B97" s="431" t="s">
        <v>197</v>
      </c>
      <c r="C97" s="432" t="s">
        <v>198</v>
      </c>
      <c r="D97" s="432" t="s">
        <v>199</v>
      </c>
      <c r="E97" s="430" t="s">
        <v>222</v>
      </c>
      <c r="F97" s="430" t="s">
        <v>409</v>
      </c>
    </row>
    <row r="98" ht="12.75" customHeight="1">
      <c r="A98" s="430" t="s">
        <v>414</v>
      </c>
      <c r="B98" s="431" t="s">
        <v>197</v>
      </c>
      <c r="C98" s="432" t="s">
        <v>198</v>
      </c>
      <c r="D98" s="432" t="s">
        <v>199</v>
      </c>
      <c r="E98" s="430" t="s">
        <v>230</v>
      </c>
      <c r="F98" s="430" t="s">
        <v>409</v>
      </c>
    </row>
    <row r="99" ht="12.75" customHeight="1">
      <c r="A99" s="430" t="s">
        <v>415</v>
      </c>
      <c r="B99" s="431" t="s">
        <v>197</v>
      </c>
      <c r="C99" s="432" t="s">
        <v>198</v>
      </c>
      <c r="D99" s="432" t="s">
        <v>199</v>
      </c>
      <c r="E99" s="430" t="s">
        <v>210</v>
      </c>
      <c r="F99" s="430" t="s">
        <v>409</v>
      </c>
    </row>
    <row r="100" ht="12.75" customHeight="1">
      <c r="A100" s="430" t="s">
        <v>416</v>
      </c>
      <c r="B100" s="431" t="s">
        <v>197</v>
      </c>
      <c r="C100" s="432" t="s">
        <v>198</v>
      </c>
      <c r="D100" s="432" t="s">
        <v>199</v>
      </c>
      <c r="E100" s="430" t="s">
        <v>206</v>
      </c>
      <c r="F100" s="430" t="s">
        <v>417</v>
      </c>
    </row>
    <row r="101" ht="12.75" customHeight="1">
      <c r="A101" s="430" t="s">
        <v>418</v>
      </c>
      <c r="B101" s="431" t="s">
        <v>197</v>
      </c>
      <c r="C101" s="432" t="s">
        <v>198</v>
      </c>
      <c r="D101" s="432" t="s">
        <v>199</v>
      </c>
      <c r="E101" s="430" t="s">
        <v>208</v>
      </c>
      <c r="F101" s="430" t="s">
        <v>417</v>
      </c>
    </row>
    <row r="102" ht="12.75" customHeight="1">
      <c r="A102" s="430" t="s">
        <v>419</v>
      </c>
      <c r="B102" s="431" t="s">
        <v>197</v>
      </c>
      <c r="C102" s="432" t="s">
        <v>198</v>
      </c>
      <c r="D102" s="432" t="s">
        <v>199</v>
      </c>
      <c r="E102" s="430" t="s">
        <v>204</v>
      </c>
      <c r="F102" s="430" t="s">
        <v>417</v>
      </c>
    </row>
    <row r="103" ht="12.75" customHeight="1">
      <c r="A103" s="430" t="s">
        <v>420</v>
      </c>
      <c r="B103" s="431" t="s">
        <v>197</v>
      </c>
      <c r="C103" s="432" t="s">
        <v>198</v>
      </c>
      <c r="D103" s="432" t="s">
        <v>199</v>
      </c>
      <c r="E103" s="430" t="s">
        <v>200</v>
      </c>
      <c r="F103" s="430" t="s">
        <v>417</v>
      </c>
    </row>
    <row r="104" ht="12.75" customHeight="1">
      <c r="A104" s="430" t="s">
        <v>421</v>
      </c>
      <c r="B104" s="431" t="s">
        <v>197</v>
      </c>
      <c r="C104" s="432" t="s">
        <v>198</v>
      </c>
      <c r="D104" s="432" t="s">
        <v>199</v>
      </c>
      <c r="E104" s="430" t="s">
        <v>239</v>
      </c>
      <c r="F104" s="430" t="s">
        <v>417</v>
      </c>
    </row>
    <row r="105" ht="12.75" customHeight="1">
      <c r="A105" s="430" t="s">
        <v>422</v>
      </c>
      <c r="B105" s="431" t="s">
        <v>197</v>
      </c>
      <c r="C105" s="432" t="s">
        <v>198</v>
      </c>
      <c r="D105" s="432" t="s">
        <v>199</v>
      </c>
      <c r="E105" s="430" t="s">
        <v>228</v>
      </c>
      <c r="F105" s="430" t="s">
        <v>417</v>
      </c>
    </row>
    <row r="106" ht="12.75" customHeight="1">
      <c r="A106" s="430" t="s">
        <v>423</v>
      </c>
      <c r="B106" s="431" t="s">
        <v>197</v>
      </c>
      <c r="C106" s="432" t="s">
        <v>198</v>
      </c>
      <c r="D106" s="432" t="s">
        <v>199</v>
      </c>
      <c r="E106" s="430" t="s">
        <v>214</v>
      </c>
      <c r="F106" s="430" t="s">
        <v>417</v>
      </c>
    </row>
    <row r="107" ht="12.75" customHeight="1">
      <c r="A107" s="430" t="s">
        <v>424</v>
      </c>
      <c r="B107" s="431" t="s">
        <v>197</v>
      </c>
      <c r="C107" s="432" t="s">
        <v>198</v>
      </c>
      <c r="D107" s="432" t="s">
        <v>199</v>
      </c>
      <c r="E107" s="430" t="s">
        <v>222</v>
      </c>
      <c r="F107" s="430" t="s">
        <v>417</v>
      </c>
    </row>
    <row r="108" ht="12.75" customHeight="1">
      <c r="A108" s="430" t="s">
        <v>425</v>
      </c>
      <c r="B108" s="431" t="s">
        <v>197</v>
      </c>
      <c r="C108" s="432" t="s">
        <v>198</v>
      </c>
      <c r="D108" s="432" t="s">
        <v>199</v>
      </c>
      <c r="E108" s="430" t="s">
        <v>230</v>
      </c>
      <c r="F108" s="430" t="s">
        <v>417</v>
      </c>
    </row>
    <row r="109" ht="12.75" customHeight="1">
      <c r="A109" s="430" t="s">
        <v>426</v>
      </c>
      <c r="B109" s="431" t="s">
        <v>197</v>
      </c>
      <c r="C109" s="432" t="s">
        <v>198</v>
      </c>
      <c r="D109" s="432" t="s">
        <v>199</v>
      </c>
      <c r="E109" s="430" t="s">
        <v>210</v>
      </c>
      <c r="F109" s="430" t="s">
        <v>417</v>
      </c>
    </row>
    <row r="110" ht="12.75" customHeight="1">
      <c r="A110" s="430" t="s">
        <v>427</v>
      </c>
      <c r="B110" s="431" t="s">
        <v>197</v>
      </c>
      <c r="C110" s="432" t="s">
        <v>198</v>
      </c>
      <c r="D110" s="432" t="s">
        <v>199</v>
      </c>
      <c r="E110" s="430" t="s">
        <v>208</v>
      </c>
      <c r="F110" s="430" t="s">
        <v>428</v>
      </c>
    </row>
    <row r="111" ht="12.75" customHeight="1">
      <c r="A111" s="430" t="s">
        <v>429</v>
      </c>
      <c r="B111" s="431" t="s">
        <v>197</v>
      </c>
      <c r="C111" s="432" t="s">
        <v>198</v>
      </c>
      <c r="D111" s="432" t="s">
        <v>199</v>
      </c>
      <c r="E111" s="430" t="s">
        <v>204</v>
      </c>
      <c r="F111" s="430" t="s">
        <v>428</v>
      </c>
    </row>
    <row r="112" ht="12.75" customHeight="1">
      <c r="A112" s="430" t="s">
        <v>430</v>
      </c>
      <c r="B112" s="431" t="s">
        <v>197</v>
      </c>
      <c r="C112" s="432" t="s">
        <v>198</v>
      </c>
      <c r="D112" s="432" t="s">
        <v>199</v>
      </c>
      <c r="E112" s="430" t="s">
        <v>214</v>
      </c>
      <c r="F112" s="430" t="s">
        <v>428</v>
      </c>
    </row>
    <row r="113" ht="12.75" customHeight="1">
      <c r="A113" s="430" t="s">
        <v>431</v>
      </c>
      <c r="B113" s="431" t="s">
        <v>197</v>
      </c>
      <c r="C113" s="432" t="s">
        <v>198</v>
      </c>
      <c r="D113" s="432" t="s">
        <v>199</v>
      </c>
      <c r="E113" s="430" t="s">
        <v>230</v>
      </c>
      <c r="F113" s="430" t="s">
        <v>428</v>
      </c>
    </row>
    <row r="114" ht="12.75" customHeight="1">
      <c r="A114" s="430" t="s">
        <v>432</v>
      </c>
      <c r="B114" s="431" t="s">
        <v>197</v>
      </c>
      <c r="C114" s="432" t="s">
        <v>198</v>
      </c>
      <c r="D114" s="432" t="s">
        <v>199</v>
      </c>
      <c r="E114" s="430" t="s">
        <v>210</v>
      </c>
      <c r="F114" s="430" t="s">
        <v>428</v>
      </c>
    </row>
    <row r="115" ht="12.75" customHeight="1">
      <c r="A115" s="430" t="s">
        <v>433</v>
      </c>
      <c r="B115" s="431" t="s">
        <v>197</v>
      </c>
      <c r="C115" s="432" t="s">
        <v>198</v>
      </c>
      <c r="D115" s="432" t="s">
        <v>199</v>
      </c>
      <c r="E115" s="430" t="s">
        <v>202</v>
      </c>
      <c r="F115" s="430" t="s">
        <v>434</v>
      </c>
    </row>
    <row r="116" ht="12.75" customHeight="1">
      <c r="A116" s="430" t="s">
        <v>435</v>
      </c>
      <c r="B116" s="431" t="s">
        <v>197</v>
      </c>
      <c r="C116" s="432" t="s">
        <v>198</v>
      </c>
      <c r="D116" s="432" t="s">
        <v>199</v>
      </c>
      <c r="E116" s="430" t="s">
        <v>208</v>
      </c>
      <c r="F116" s="430" t="s">
        <v>434</v>
      </c>
    </row>
    <row r="117" ht="12.75" customHeight="1">
      <c r="A117" s="430" t="s">
        <v>436</v>
      </c>
      <c r="B117" s="431" t="s">
        <v>197</v>
      </c>
      <c r="C117" s="432" t="s">
        <v>198</v>
      </c>
      <c r="D117" s="432" t="s">
        <v>199</v>
      </c>
      <c r="E117" s="430" t="s">
        <v>204</v>
      </c>
      <c r="F117" s="430" t="s">
        <v>434</v>
      </c>
    </row>
    <row r="118" ht="12.75" customHeight="1">
      <c r="A118" s="430" t="s">
        <v>437</v>
      </c>
      <c r="B118" s="431" t="s">
        <v>197</v>
      </c>
      <c r="C118" s="432" t="s">
        <v>198</v>
      </c>
      <c r="D118" s="432" t="s">
        <v>199</v>
      </c>
      <c r="E118" s="430" t="s">
        <v>200</v>
      </c>
      <c r="F118" s="430" t="s">
        <v>434</v>
      </c>
    </row>
    <row r="119" ht="12.75" customHeight="1">
      <c r="A119" s="430" t="s">
        <v>438</v>
      </c>
      <c r="B119" s="431" t="s">
        <v>197</v>
      </c>
      <c r="C119" s="432" t="s">
        <v>198</v>
      </c>
      <c r="D119" s="432" t="s">
        <v>199</v>
      </c>
      <c r="E119" s="430" t="s">
        <v>214</v>
      </c>
      <c r="F119" s="430" t="s">
        <v>434</v>
      </c>
    </row>
    <row r="120" ht="12.75" customHeight="1">
      <c r="A120" s="430" t="s">
        <v>439</v>
      </c>
      <c r="B120" s="431" t="s">
        <v>197</v>
      </c>
      <c r="C120" s="432" t="s">
        <v>198</v>
      </c>
      <c r="D120" s="432" t="s">
        <v>199</v>
      </c>
      <c r="E120" s="430" t="s">
        <v>222</v>
      </c>
      <c r="F120" s="430" t="s">
        <v>434</v>
      </c>
    </row>
    <row r="121" ht="12.75" customHeight="1">
      <c r="A121" s="430" t="s">
        <v>440</v>
      </c>
      <c r="B121" s="431" t="s">
        <v>197</v>
      </c>
      <c r="C121" s="432" t="s">
        <v>198</v>
      </c>
      <c r="D121" s="432" t="s">
        <v>199</v>
      </c>
      <c r="E121" s="430" t="s">
        <v>230</v>
      </c>
      <c r="F121" s="430" t="s">
        <v>434</v>
      </c>
    </row>
    <row r="122" ht="12.75" customHeight="1">
      <c r="A122" s="430" t="s">
        <v>441</v>
      </c>
      <c r="B122" s="431" t="s">
        <v>197</v>
      </c>
      <c r="C122" s="432" t="s">
        <v>198</v>
      </c>
      <c r="D122" s="432" t="s">
        <v>199</v>
      </c>
      <c r="E122" s="430" t="s">
        <v>210</v>
      </c>
      <c r="F122" s="430" t="s">
        <v>434</v>
      </c>
    </row>
    <row r="123" ht="12.75" customHeight="1">
      <c r="A123" s="430" t="s">
        <v>442</v>
      </c>
      <c r="B123" s="431" t="s">
        <v>197</v>
      </c>
      <c r="C123" s="432" t="s">
        <v>198</v>
      </c>
      <c r="D123" s="432" t="s">
        <v>199</v>
      </c>
      <c r="E123" s="430" t="s">
        <v>206</v>
      </c>
      <c r="F123" s="430" t="s">
        <v>443</v>
      </c>
    </row>
    <row r="124" ht="12.75" customHeight="1">
      <c r="A124" s="430" t="s">
        <v>444</v>
      </c>
      <c r="B124" s="431" t="s">
        <v>197</v>
      </c>
      <c r="C124" s="432" t="s">
        <v>198</v>
      </c>
      <c r="D124" s="432" t="s">
        <v>199</v>
      </c>
      <c r="E124" s="430" t="s">
        <v>208</v>
      </c>
      <c r="F124" s="430" t="s">
        <v>443</v>
      </c>
    </row>
    <row r="125" ht="12.75" customHeight="1">
      <c r="A125" s="430" t="s">
        <v>445</v>
      </c>
      <c r="B125" s="431" t="s">
        <v>197</v>
      </c>
      <c r="C125" s="432" t="s">
        <v>198</v>
      </c>
      <c r="D125" s="432" t="s">
        <v>199</v>
      </c>
      <c r="E125" s="430" t="s">
        <v>204</v>
      </c>
      <c r="F125" s="430" t="s">
        <v>443</v>
      </c>
    </row>
    <row r="126" ht="12.75" customHeight="1">
      <c r="A126" s="430" t="s">
        <v>446</v>
      </c>
      <c r="B126" s="431" t="s">
        <v>197</v>
      </c>
      <c r="C126" s="432" t="s">
        <v>198</v>
      </c>
      <c r="D126" s="432" t="s">
        <v>199</v>
      </c>
      <c r="E126" s="430" t="s">
        <v>200</v>
      </c>
      <c r="F126" s="430" t="s">
        <v>443</v>
      </c>
    </row>
    <row r="127" ht="12.75" customHeight="1">
      <c r="A127" s="430" t="s">
        <v>447</v>
      </c>
      <c r="B127" s="431" t="s">
        <v>197</v>
      </c>
      <c r="C127" s="432" t="s">
        <v>198</v>
      </c>
      <c r="D127" s="432" t="s">
        <v>199</v>
      </c>
      <c r="E127" s="430" t="s">
        <v>214</v>
      </c>
      <c r="F127" s="430" t="s">
        <v>443</v>
      </c>
    </row>
    <row r="128" ht="12.75" customHeight="1">
      <c r="A128" s="430" t="s">
        <v>448</v>
      </c>
      <c r="B128" s="431" t="s">
        <v>197</v>
      </c>
      <c r="C128" s="432" t="s">
        <v>198</v>
      </c>
      <c r="D128" s="432" t="s">
        <v>199</v>
      </c>
      <c r="E128" s="430" t="s">
        <v>222</v>
      </c>
      <c r="F128" s="430" t="s">
        <v>443</v>
      </c>
    </row>
    <row r="129" ht="12.75" customHeight="1">
      <c r="A129" s="430" t="s">
        <v>449</v>
      </c>
      <c r="B129" s="431" t="s">
        <v>197</v>
      </c>
      <c r="C129" s="432" t="s">
        <v>198</v>
      </c>
      <c r="D129" s="432" t="s">
        <v>199</v>
      </c>
      <c r="E129" s="430" t="s">
        <v>230</v>
      </c>
      <c r="F129" s="430" t="s">
        <v>443</v>
      </c>
    </row>
    <row r="130" ht="12.75" customHeight="1">
      <c r="A130" s="430" t="s">
        <v>450</v>
      </c>
      <c r="B130" s="431" t="s">
        <v>197</v>
      </c>
      <c r="C130" s="432" t="s">
        <v>198</v>
      </c>
      <c r="D130" s="432" t="s">
        <v>199</v>
      </c>
      <c r="E130" s="430" t="s">
        <v>210</v>
      </c>
      <c r="F130" s="430" t="s">
        <v>443</v>
      </c>
    </row>
    <row r="131" ht="12.75" customHeight="1">
      <c r="A131" s="430" t="s">
        <v>451</v>
      </c>
      <c r="B131" s="431" t="s">
        <v>197</v>
      </c>
      <c r="C131" s="432" t="s">
        <v>198</v>
      </c>
      <c r="D131" s="432" t="s">
        <v>199</v>
      </c>
      <c r="E131" s="430" t="s">
        <v>206</v>
      </c>
      <c r="F131" s="430" t="s">
        <v>452</v>
      </c>
    </row>
    <row r="132" ht="12.75" customHeight="1">
      <c r="A132" s="430" t="s">
        <v>453</v>
      </c>
      <c r="B132" s="431" t="s">
        <v>197</v>
      </c>
      <c r="C132" s="432" t="s">
        <v>198</v>
      </c>
      <c r="D132" s="432" t="s">
        <v>199</v>
      </c>
      <c r="E132" s="430" t="s">
        <v>208</v>
      </c>
      <c r="F132" s="430" t="s">
        <v>452</v>
      </c>
    </row>
    <row r="133" ht="12.75" customHeight="1">
      <c r="A133" s="430" t="s">
        <v>454</v>
      </c>
      <c r="B133" s="431" t="s">
        <v>197</v>
      </c>
      <c r="C133" s="432" t="s">
        <v>198</v>
      </c>
      <c r="D133" s="432" t="s">
        <v>199</v>
      </c>
      <c r="E133" s="430" t="s">
        <v>204</v>
      </c>
      <c r="F133" s="430" t="s">
        <v>452</v>
      </c>
    </row>
    <row r="134" ht="12.75" customHeight="1">
      <c r="A134" s="430" t="s">
        <v>455</v>
      </c>
      <c r="B134" s="431" t="s">
        <v>197</v>
      </c>
      <c r="C134" s="432" t="s">
        <v>198</v>
      </c>
      <c r="D134" s="432" t="s">
        <v>199</v>
      </c>
      <c r="E134" s="430" t="s">
        <v>200</v>
      </c>
      <c r="F134" s="430" t="s">
        <v>452</v>
      </c>
    </row>
    <row r="135" ht="12.75" customHeight="1">
      <c r="A135" s="430" t="s">
        <v>456</v>
      </c>
      <c r="B135" s="431" t="s">
        <v>197</v>
      </c>
      <c r="C135" s="432" t="s">
        <v>198</v>
      </c>
      <c r="D135" s="432" t="s">
        <v>199</v>
      </c>
      <c r="E135" s="430" t="s">
        <v>228</v>
      </c>
      <c r="F135" s="430" t="s">
        <v>452</v>
      </c>
    </row>
    <row r="136" ht="12.75" customHeight="1">
      <c r="A136" s="430" t="s">
        <v>457</v>
      </c>
      <c r="B136" s="431" t="s">
        <v>197</v>
      </c>
      <c r="C136" s="432" t="s">
        <v>198</v>
      </c>
      <c r="D136" s="432" t="s">
        <v>199</v>
      </c>
      <c r="E136" s="430" t="s">
        <v>214</v>
      </c>
      <c r="F136" s="430" t="s">
        <v>452</v>
      </c>
    </row>
    <row r="137" ht="12.75" customHeight="1">
      <c r="A137" s="430" t="s">
        <v>458</v>
      </c>
      <c r="B137" s="431" t="s">
        <v>197</v>
      </c>
      <c r="C137" s="432" t="s">
        <v>198</v>
      </c>
      <c r="D137" s="432" t="s">
        <v>199</v>
      </c>
      <c r="E137" s="430" t="s">
        <v>222</v>
      </c>
      <c r="F137" s="430" t="s">
        <v>452</v>
      </c>
    </row>
    <row r="138" ht="12.75" customHeight="1">
      <c r="A138" s="430" t="s">
        <v>459</v>
      </c>
      <c r="B138" s="431" t="s">
        <v>197</v>
      </c>
      <c r="C138" s="432" t="s">
        <v>198</v>
      </c>
      <c r="D138" s="432" t="s">
        <v>199</v>
      </c>
      <c r="E138" s="430" t="s">
        <v>230</v>
      </c>
      <c r="F138" s="430" t="s">
        <v>452</v>
      </c>
    </row>
    <row r="139" ht="12.75" customHeight="1">
      <c r="A139" s="430" t="s">
        <v>460</v>
      </c>
      <c r="B139" s="431" t="s">
        <v>197</v>
      </c>
      <c r="C139" s="432" t="s">
        <v>198</v>
      </c>
      <c r="D139" s="432" t="s">
        <v>199</v>
      </c>
      <c r="E139" s="430" t="s">
        <v>210</v>
      </c>
      <c r="F139" s="430" t="s">
        <v>452</v>
      </c>
    </row>
    <row r="140" ht="12.75" customHeight="1">
      <c r="A140" s="430" t="s">
        <v>461</v>
      </c>
      <c r="B140" s="431" t="s">
        <v>197</v>
      </c>
      <c r="C140" s="432" t="s">
        <v>198</v>
      </c>
      <c r="D140" s="432" t="s">
        <v>199</v>
      </c>
      <c r="E140" s="430" t="s">
        <v>206</v>
      </c>
      <c r="F140" s="430" t="s">
        <v>462</v>
      </c>
    </row>
    <row r="141" ht="12.75" customHeight="1">
      <c r="A141" s="430" t="s">
        <v>463</v>
      </c>
      <c r="B141" s="431" t="s">
        <v>197</v>
      </c>
      <c r="C141" s="432" t="s">
        <v>198</v>
      </c>
      <c r="D141" s="432" t="s">
        <v>199</v>
      </c>
      <c r="E141" s="430" t="s">
        <v>208</v>
      </c>
      <c r="F141" s="430" t="s">
        <v>462</v>
      </c>
    </row>
    <row r="142" ht="12.75" customHeight="1">
      <c r="A142" s="430" t="s">
        <v>464</v>
      </c>
      <c r="B142" s="431" t="s">
        <v>197</v>
      </c>
      <c r="C142" s="432" t="s">
        <v>198</v>
      </c>
      <c r="D142" s="432" t="s">
        <v>199</v>
      </c>
      <c r="E142" s="430" t="s">
        <v>204</v>
      </c>
      <c r="F142" s="430" t="s">
        <v>462</v>
      </c>
    </row>
    <row r="143" ht="12.75" customHeight="1">
      <c r="A143" s="430" t="s">
        <v>465</v>
      </c>
      <c r="B143" s="431" t="s">
        <v>197</v>
      </c>
      <c r="C143" s="432" t="s">
        <v>198</v>
      </c>
      <c r="D143" s="432" t="s">
        <v>199</v>
      </c>
      <c r="E143" s="430" t="s">
        <v>200</v>
      </c>
      <c r="F143" s="430" t="s">
        <v>462</v>
      </c>
    </row>
    <row r="144" ht="12.75" customHeight="1">
      <c r="A144" s="430" t="s">
        <v>466</v>
      </c>
      <c r="B144" s="431" t="s">
        <v>197</v>
      </c>
      <c r="C144" s="432" t="s">
        <v>198</v>
      </c>
      <c r="D144" s="432" t="s">
        <v>199</v>
      </c>
      <c r="E144" s="430" t="s">
        <v>214</v>
      </c>
      <c r="F144" s="430" t="s">
        <v>462</v>
      </c>
    </row>
    <row r="145" ht="12.75" customHeight="1">
      <c r="A145" s="430" t="s">
        <v>467</v>
      </c>
      <c r="B145" s="431" t="s">
        <v>197</v>
      </c>
      <c r="C145" s="432" t="s">
        <v>198</v>
      </c>
      <c r="D145" s="432" t="s">
        <v>199</v>
      </c>
      <c r="E145" s="430" t="s">
        <v>222</v>
      </c>
      <c r="F145" s="430" t="s">
        <v>462</v>
      </c>
    </row>
    <row r="146" ht="12.75" customHeight="1">
      <c r="A146" s="430" t="s">
        <v>468</v>
      </c>
      <c r="B146" s="431" t="s">
        <v>197</v>
      </c>
      <c r="C146" s="432" t="s">
        <v>198</v>
      </c>
      <c r="D146" s="432" t="s">
        <v>199</v>
      </c>
      <c r="E146" s="430" t="s">
        <v>230</v>
      </c>
      <c r="F146" s="430" t="s">
        <v>462</v>
      </c>
    </row>
    <row r="147" ht="12.75" customHeight="1">
      <c r="A147" s="430" t="s">
        <v>469</v>
      </c>
      <c r="B147" s="431" t="s">
        <v>197</v>
      </c>
      <c r="C147" s="432" t="s">
        <v>198</v>
      </c>
      <c r="D147" s="432" t="s">
        <v>199</v>
      </c>
      <c r="E147" s="430" t="s">
        <v>210</v>
      </c>
      <c r="F147" s="430" t="s">
        <v>462</v>
      </c>
    </row>
    <row r="148" ht="12.75" customHeight="1">
      <c r="A148" s="430" t="s">
        <v>470</v>
      </c>
      <c r="B148" s="431" t="s">
        <v>197</v>
      </c>
      <c r="C148" s="432" t="s">
        <v>198</v>
      </c>
      <c r="D148" s="432" t="s">
        <v>199</v>
      </c>
      <c r="E148" s="430" t="s">
        <v>204</v>
      </c>
      <c r="F148" s="430" t="s">
        <v>471</v>
      </c>
    </row>
    <row r="149" ht="12.75" customHeight="1">
      <c r="A149" s="430" t="s">
        <v>472</v>
      </c>
      <c r="B149" s="431" t="s">
        <v>197</v>
      </c>
      <c r="C149" s="432" t="s">
        <v>198</v>
      </c>
      <c r="D149" s="432" t="s">
        <v>199</v>
      </c>
      <c r="E149" s="430" t="s">
        <v>200</v>
      </c>
      <c r="F149" s="430" t="s">
        <v>471</v>
      </c>
    </row>
    <row r="150" ht="12.75" customHeight="1">
      <c r="A150" s="430" t="s">
        <v>473</v>
      </c>
      <c r="B150" s="431" t="s">
        <v>197</v>
      </c>
      <c r="C150" s="432" t="s">
        <v>198</v>
      </c>
      <c r="D150" s="432" t="s">
        <v>199</v>
      </c>
      <c r="E150" s="430" t="s">
        <v>214</v>
      </c>
      <c r="F150" s="430" t="s">
        <v>471</v>
      </c>
    </row>
    <row r="151" ht="12.75" customHeight="1">
      <c r="A151" s="430" t="s">
        <v>474</v>
      </c>
      <c r="B151" s="431" t="s">
        <v>197</v>
      </c>
      <c r="C151" s="432" t="s">
        <v>198</v>
      </c>
      <c r="D151" s="432" t="s">
        <v>199</v>
      </c>
      <c r="E151" s="430" t="s">
        <v>222</v>
      </c>
      <c r="F151" s="430" t="s">
        <v>471</v>
      </c>
    </row>
    <row r="152" ht="12.75" customHeight="1">
      <c r="A152" s="430" t="s">
        <v>475</v>
      </c>
      <c r="B152" s="431" t="s">
        <v>234</v>
      </c>
      <c r="C152" s="432" t="s">
        <v>235</v>
      </c>
      <c r="D152" s="432" t="s">
        <v>236</v>
      </c>
      <c r="E152" s="430" t="s">
        <v>230</v>
      </c>
      <c r="F152" s="430" t="s">
        <v>471</v>
      </c>
    </row>
    <row r="153" ht="12.75" customHeight="1">
      <c r="A153" s="430" t="s">
        <v>476</v>
      </c>
      <c r="B153" s="431" t="s">
        <v>358</v>
      </c>
      <c r="C153" s="434" t="s">
        <v>359</v>
      </c>
      <c r="D153" s="434" t="s">
        <v>360</v>
      </c>
      <c r="E153" s="430" t="s">
        <v>210</v>
      </c>
      <c r="F153" s="430" t="s">
        <v>471</v>
      </c>
    </row>
    <row r="154" ht="12.75" customHeight="1">
      <c r="A154" s="430" t="s">
        <v>477</v>
      </c>
      <c r="B154" s="431" t="s">
        <v>358</v>
      </c>
      <c r="C154" s="434" t="s">
        <v>359</v>
      </c>
      <c r="D154" s="434" t="s">
        <v>360</v>
      </c>
      <c r="E154" s="430" t="s">
        <v>207</v>
      </c>
      <c r="F154" s="430" t="s">
        <v>478</v>
      </c>
    </row>
    <row r="155" ht="12.75" customHeight="1">
      <c r="A155" s="430" t="s">
        <v>479</v>
      </c>
      <c r="B155" s="431" t="s">
        <v>358</v>
      </c>
      <c r="C155" s="434" t="s">
        <v>359</v>
      </c>
      <c r="D155" s="434" t="s">
        <v>360</v>
      </c>
      <c r="E155" s="430" t="s">
        <v>206</v>
      </c>
      <c r="F155" s="430" t="s">
        <v>478</v>
      </c>
    </row>
    <row r="156" ht="12.75" customHeight="1">
      <c r="A156" s="430" t="s">
        <v>480</v>
      </c>
      <c r="B156" s="431" t="s">
        <v>358</v>
      </c>
      <c r="C156" s="434" t="s">
        <v>359</v>
      </c>
      <c r="D156" s="434" t="s">
        <v>360</v>
      </c>
      <c r="E156" s="430" t="s">
        <v>20</v>
      </c>
      <c r="F156" s="430" t="s">
        <v>478</v>
      </c>
    </row>
    <row r="157" ht="12.75" customHeight="1">
      <c r="A157" s="430" t="s">
        <v>481</v>
      </c>
      <c r="B157" s="431" t="s">
        <v>358</v>
      </c>
      <c r="C157" s="434" t="s">
        <v>359</v>
      </c>
      <c r="D157" s="434" t="s">
        <v>360</v>
      </c>
      <c r="E157" s="430" t="s">
        <v>208</v>
      </c>
      <c r="F157" s="430" t="s">
        <v>478</v>
      </c>
    </row>
    <row r="158" ht="12.75" customHeight="1">
      <c r="A158" s="430" t="s">
        <v>482</v>
      </c>
      <c r="B158" s="431" t="s">
        <v>358</v>
      </c>
      <c r="C158" s="434" t="s">
        <v>359</v>
      </c>
      <c r="D158" s="434" t="s">
        <v>360</v>
      </c>
      <c r="E158" s="430" t="s">
        <v>204</v>
      </c>
      <c r="F158" s="430" t="s">
        <v>478</v>
      </c>
    </row>
    <row r="159" ht="12.75" customHeight="1">
      <c r="A159" s="435" t="s">
        <v>483</v>
      </c>
      <c r="B159" s="431" t="s">
        <v>358</v>
      </c>
      <c r="C159" s="434" t="s">
        <v>359</v>
      </c>
      <c r="D159" s="434" t="s">
        <v>360</v>
      </c>
      <c r="E159" s="430" t="s">
        <v>200</v>
      </c>
      <c r="F159" s="430" t="s">
        <v>478</v>
      </c>
    </row>
    <row r="160" ht="12.75" customHeight="1">
      <c r="A160" s="435" t="s">
        <v>484</v>
      </c>
      <c r="B160" s="431" t="s">
        <v>358</v>
      </c>
      <c r="C160" s="434" t="s">
        <v>359</v>
      </c>
      <c r="D160" s="434" t="s">
        <v>360</v>
      </c>
      <c r="E160" s="430" t="s">
        <v>239</v>
      </c>
      <c r="F160" s="430" t="s">
        <v>478</v>
      </c>
    </row>
    <row r="161" ht="12.75" customHeight="1">
      <c r="A161" s="435" t="s">
        <v>485</v>
      </c>
      <c r="B161" s="431" t="s">
        <v>358</v>
      </c>
      <c r="C161" s="434" t="s">
        <v>359</v>
      </c>
      <c r="D161" s="434" t="s">
        <v>360</v>
      </c>
      <c r="E161" s="430" t="s">
        <v>228</v>
      </c>
      <c r="F161" s="430" t="s">
        <v>478</v>
      </c>
    </row>
    <row r="162" ht="12.75" customHeight="1">
      <c r="A162" s="435" t="s">
        <v>486</v>
      </c>
      <c r="B162" s="431" t="s">
        <v>358</v>
      </c>
      <c r="C162" s="434" t="s">
        <v>359</v>
      </c>
      <c r="D162" s="434" t="s">
        <v>360</v>
      </c>
      <c r="E162" s="430" t="s">
        <v>214</v>
      </c>
      <c r="F162" s="430" t="s">
        <v>478</v>
      </c>
    </row>
    <row r="163" ht="12.75" customHeight="1">
      <c r="A163" s="435" t="s">
        <v>487</v>
      </c>
      <c r="B163" s="431" t="s">
        <v>358</v>
      </c>
      <c r="C163" s="434" t="s">
        <v>359</v>
      </c>
      <c r="D163" s="434" t="s">
        <v>360</v>
      </c>
      <c r="E163" s="430" t="s">
        <v>230</v>
      </c>
      <c r="F163" s="430" t="s">
        <v>478</v>
      </c>
    </row>
    <row r="164" ht="12.75" customHeight="1">
      <c r="A164" s="435" t="s">
        <v>488</v>
      </c>
      <c r="B164" s="431" t="s">
        <v>358</v>
      </c>
      <c r="C164" s="434" t="s">
        <v>359</v>
      </c>
      <c r="D164" s="434" t="s">
        <v>360</v>
      </c>
      <c r="E164" s="430" t="s">
        <v>210</v>
      </c>
      <c r="F164" s="430" t="s">
        <v>478</v>
      </c>
    </row>
    <row r="165" ht="12.75" customHeight="1">
      <c r="A165" s="436" t="s">
        <v>489</v>
      </c>
      <c r="B165" s="431" t="s">
        <v>358</v>
      </c>
      <c r="C165" s="434" t="s">
        <v>359</v>
      </c>
      <c r="D165" s="434" t="s">
        <v>360</v>
      </c>
      <c r="E165" s="430" t="s">
        <v>206</v>
      </c>
      <c r="F165" s="430" t="s">
        <v>490</v>
      </c>
    </row>
    <row r="166" ht="12.75" customHeight="1">
      <c r="A166" s="436" t="s">
        <v>491</v>
      </c>
      <c r="B166" s="431" t="s">
        <v>358</v>
      </c>
      <c r="C166" s="434" t="s">
        <v>359</v>
      </c>
      <c r="D166" s="434" t="s">
        <v>360</v>
      </c>
      <c r="E166" s="430" t="s">
        <v>208</v>
      </c>
      <c r="F166" s="430" t="s">
        <v>490</v>
      </c>
    </row>
    <row r="167" ht="12.75" customHeight="1">
      <c r="A167" s="435" t="s">
        <v>492</v>
      </c>
      <c r="B167" s="431" t="s">
        <v>358</v>
      </c>
      <c r="C167" s="434" t="s">
        <v>359</v>
      </c>
      <c r="D167" s="434" t="s">
        <v>360</v>
      </c>
      <c r="E167" s="430" t="s">
        <v>204</v>
      </c>
      <c r="F167" s="430" t="s">
        <v>490</v>
      </c>
    </row>
    <row r="168" ht="12.75" customHeight="1">
      <c r="A168" s="430" t="s">
        <v>493</v>
      </c>
      <c r="B168" s="431" t="s">
        <v>358</v>
      </c>
      <c r="C168" s="434" t="s">
        <v>359</v>
      </c>
      <c r="D168" s="434" t="s">
        <v>360</v>
      </c>
      <c r="E168" s="430" t="s">
        <v>200</v>
      </c>
      <c r="F168" s="430" t="s">
        <v>490</v>
      </c>
    </row>
    <row r="169" ht="12.75" customHeight="1">
      <c r="A169" s="436" t="s">
        <v>494</v>
      </c>
      <c r="B169" s="431" t="s">
        <v>358</v>
      </c>
      <c r="C169" s="434" t="s">
        <v>359</v>
      </c>
      <c r="D169" s="434" t="s">
        <v>360</v>
      </c>
      <c r="E169" s="430" t="s">
        <v>239</v>
      </c>
      <c r="F169" s="430" t="s">
        <v>490</v>
      </c>
    </row>
    <row r="170" ht="12.75" customHeight="1">
      <c r="A170" s="430" t="s">
        <v>495</v>
      </c>
      <c r="B170" s="431" t="s">
        <v>358</v>
      </c>
      <c r="C170" s="434" t="s">
        <v>359</v>
      </c>
      <c r="D170" s="434" t="s">
        <v>360</v>
      </c>
      <c r="E170" s="430" t="s">
        <v>228</v>
      </c>
      <c r="F170" s="430" t="s">
        <v>490</v>
      </c>
    </row>
    <row r="171" ht="12.75" customHeight="1">
      <c r="A171" s="430" t="s">
        <v>496</v>
      </c>
      <c r="B171" s="431" t="s">
        <v>358</v>
      </c>
      <c r="C171" s="434" t="s">
        <v>359</v>
      </c>
      <c r="D171" s="434" t="s">
        <v>360</v>
      </c>
      <c r="E171" s="430" t="s">
        <v>247</v>
      </c>
      <c r="F171" s="430" t="s">
        <v>490</v>
      </c>
    </row>
    <row r="172" ht="12.75" customHeight="1">
      <c r="A172" s="435" t="s">
        <v>497</v>
      </c>
      <c r="B172" s="431" t="s">
        <v>358</v>
      </c>
      <c r="C172" s="434" t="s">
        <v>359</v>
      </c>
      <c r="D172" s="434" t="s">
        <v>360</v>
      </c>
      <c r="E172" s="430" t="s">
        <v>214</v>
      </c>
      <c r="F172" s="430" t="s">
        <v>490</v>
      </c>
    </row>
    <row r="173" ht="12.75" customHeight="1">
      <c r="A173" s="430" t="s">
        <v>498</v>
      </c>
      <c r="B173" s="431" t="s">
        <v>358</v>
      </c>
      <c r="C173" s="434" t="s">
        <v>359</v>
      </c>
      <c r="D173" s="434" t="s">
        <v>360</v>
      </c>
      <c r="E173" s="430" t="s">
        <v>222</v>
      </c>
      <c r="F173" s="430" t="s">
        <v>490</v>
      </c>
    </row>
    <row r="174" ht="12.75" customHeight="1">
      <c r="A174" s="435" t="s">
        <v>499</v>
      </c>
      <c r="B174" s="431" t="s">
        <v>358</v>
      </c>
      <c r="C174" s="434" t="s">
        <v>359</v>
      </c>
      <c r="D174" s="434" t="s">
        <v>360</v>
      </c>
      <c r="E174" s="430" t="s">
        <v>230</v>
      </c>
      <c r="F174" s="430" t="s">
        <v>490</v>
      </c>
    </row>
    <row r="175" ht="12.75" customHeight="1">
      <c r="A175" s="430" t="s">
        <v>500</v>
      </c>
      <c r="B175" s="431" t="s">
        <v>358</v>
      </c>
      <c r="C175" s="434" t="s">
        <v>359</v>
      </c>
      <c r="D175" s="434" t="s">
        <v>360</v>
      </c>
      <c r="E175" s="430" t="s">
        <v>210</v>
      </c>
      <c r="F175" s="430" t="s">
        <v>490</v>
      </c>
    </row>
    <row r="176" ht="12.75" customHeight="1">
      <c r="A176" s="430" t="s">
        <v>501</v>
      </c>
      <c r="B176" s="431" t="s">
        <v>358</v>
      </c>
      <c r="C176" s="434" t="s">
        <v>359</v>
      </c>
      <c r="D176" s="434" t="s">
        <v>360</v>
      </c>
      <c r="E176" s="430" t="s">
        <v>209</v>
      </c>
      <c r="F176" s="430" t="s">
        <v>502</v>
      </c>
    </row>
    <row r="177" ht="12.75" customHeight="1">
      <c r="A177" s="435" t="s">
        <v>503</v>
      </c>
      <c r="B177" s="431" t="s">
        <v>358</v>
      </c>
      <c r="C177" s="434" t="s">
        <v>359</v>
      </c>
      <c r="D177" s="434" t="s">
        <v>360</v>
      </c>
      <c r="E177" s="430" t="s">
        <v>215</v>
      </c>
      <c r="F177" s="430" t="s">
        <v>502</v>
      </c>
    </row>
    <row r="178" ht="12.75" customHeight="1">
      <c r="A178" s="435" t="s">
        <v>504</v>
      </c>
      <c r="B178" s="431" t="s">
        <v>358</v>
      </c>
      <c r="C178" s="434" t="s">
        <v>359</v>
      </c>
      <c r="D178" s="434" t="s">
        <v>360</v>
      </c>
      <c r="E178" s="430" t="s">
        <v>223</v>
      </c>
      <c r="F178" s="430" t="s">
        <v>502</v>
      </c>
    </row>
    <row r="179" ht="12.75" customHeight="1">
      <c r="A179" s="430" t="s">
        <v>505</v>
      </c>
      <c r="B179" s="431" t="s">
        <v>358</v>
      </c>
      <c r="C179" s="434" t="s">
        <v>359</v>
      </c>
      <c r="D179" s="434" t="s">
        <v>360</v>
      </c>
      <c r="E179" s="430" t="s">
        <v>207</v>
      </c>
      <c r="F179" s="430" t="s">
        <v>506</v>
      </c>
    </row>
    <row r="180" ht="12.75" customHeight="1">
      <c r="A180" s="435" t="s">
        <v>507</v>
      </c>
      <c r="B180" s="431" t="s">
        <v>358</v>
      </c>
      <c r="C180" s="434" t="s">
        <v>359</v>
      </c>
      <c r="D180" s="434" t="s">
        <v>360</v>
      </c>
      <c r="E180" s="430" t="s">
        <v>209</v>
      </c>
      <c r="F180" s="430" t="s">
        <v>506</v>
      </c>
    </row>
    <row r="181" ht="12.75" customHeight="1">
      <c r="A181" s="435" t="s">
        <v>508</v>
      </c>
      <c r="B181" s="431" t="s">
        <v>358</v>
      </c>
      <c r="C181" s="434" t="s">
        <v>359</v>
      </c>
      <c r="D181" s="434" t="s">
        <v>360</v>
      </c>
      <c r="E181" s="430" t="s">
        <v>215</v>
      </c>
      <c r="F181" s="430" t="s">
        <v>506</v>
      </c>
    </row>
    <row r="182" ht="12.75" customHeight="1">
      <c r="A182" s="430" t="s">
        <v>509</v>
      </c>
      <c r="B182" s="431" t="s">
        <v>234</v>
      </c>
      <c r="C182" s="432" t="s">
        <v>235</v>
      </c>
      <c r="D182" s="432" t="s">
        <v>236</v>
      </c>
      <c r="E182" s="430" t="s">
        <v>223</v>
      </c>
      <c r="F182" s="430" t="s">
        <v>506</v>
      </c>
    </row>
    <row r="183" ht="12.75" customHeight="1">
      <c r="A183" s="430" t="s">
        <v>510</v>
      </c>
      <c r="B183" s="431" t="s">
        <v>234</v>
      </c>
      <c r="C183" s="432" t="s">
        <v>235</v>
      </c>
      <c r="D183" s="432" t="s">
        <v>236</v>
      </c>
      <c r="E183" s="430" t="s">
        <v>209</v>
      </c>
      <c r="F183" s="430" t="s">
        <v>511</v>
      </c>
    </row>
    <row r="184" ht="12.75" customHeight="1">
      <c r="A184" s="430" t="s">
        <v>512</v>
      </c>
      <c r="B184" s="431" t="s">
        <v>197</v>
      </c>
      <c r="C184" s="432" t="s">
        <v>198</v>
      </c>
      <c r="D184" s="432" t="s">
        <v>199</v>
      </c>
      <c r="E184" s="430" t="s">
        <v>200</v>
      </c>
      <c r="F184" s="430" t="s">
        <v>511</v>
      </c>
    </row>
    <row r="185" ht="12.75" customHeight="1">
      <c r="A185" s="430" t="s">
        <v>513</v>
      </c>
      <c r="B185" s="431" t="s">
        <v>234</v>
      </c>
      <c r="C185" s="432" t="s">
        <v>235</v>
      </c>
      <c r="D185" s="432" t="s">
        <v>236</v>
      </c>
      <c r="E185" s="430" t="s">
        <v>223</v>
      </c>
      <c r="F185" s="430" t="s">
        <v>511</v>
      </c>
    </row>
    <row r="186" ht="12.75" customHeight="1">
      <c r="A186" s="430" t="s">
        <v>514</v>
      </c>
      <c r="B186" s="431" t="s">
        <v>234</v>
      </c>
      <c r="C186" s="432" t="s">
        <v>235</v>
      </c>
      <c r="D186" s="432" t="s">
        <v>236</v>
      </c>
      <c r="E186" s="430" t="s">
        <v>515</v>
      </c>
      <c r="F186" s="430" t="s">
        <v>516</v>
      </c>
    </row>
    <row r="187" ht="12.75" customHeight="1">
      <c r="A187" s="430" t="s">
        <v>517</v>
      </c>
      <c r="B187" s="431" t="s">
        <v>234</v>
      </c>
      <c r="C187" s="432" t="s">
        <v>235</v>
      </c>
      <c r="D187" s="432" t="s">
        <v>236</v>
      </c>
      <c r="E187" s="430" t="s">
        <v>518</v>
      </c>
      <c r="F187" s="430" t="s">
        <v>516</v>
      </c>
    </row>
    <row r="188" ht="12.75" customHeight="1">
      <c r="A188" s="430" t="s">
        <v>519</v>
      </c>
      <c r="B188" s="431" t="s">
        <v>197</v>
      </c>
      <c r="C188" s="432" t="s">
        <v>198</v>
      </c>
      <c r="D188" s="432" t="s">
        <v>199</v>
      </c>
      <c r="E188" s="430" t="s">
        <v>520</v>
      </c>
      <c r="F188" s="430" t="s">
        <v>516</v>
      </c>
    </row>
    <row r="189" ht="12.75" customHeight="1">
      <c r="A189" s="430" t="s">
        <v>521</v>
      </c>
      <c r="B189" s="431" t="s">
        <v>197</v>
      </c>
      <c r="C189" s="432" t="s">
        <v>198</v>
      </c>
      <c r="D189" s="432" t="s">
        <v>199</v>
      </c>
      <c r="E189" s="430" t="s">
        <v>522</v>
      </c>
      <c r="F189" s="430" t="s">
        <v>516</v>
      </c>
    </row>
    <row r="190" ht="12.75" customHeight="1">
      <c r="A190" s="430" t="s">
        <v>523</v>
      </c>
      <c r="B190" s="431" t="s">
        <v>197</v>
      </c>
      <c r="C190" s="432" t="s">
        <v>198</v>
      </c>
      <c r="D190" s="432" t="s">
        <v>199</v>
      </c>
      <c r="E190" s="430" t="s">
        <v>206</v>
      </c>
      <c r="F190" s="430" t="s">
        <v>516</v>
      </c>
    </row>
    <row r="191" ht="12.75" customHeight="1">
      <c r="A191" s="430" t="s">
        <v>524</v>
      </c>
      <c r="B191" s="431" t="s">
        <v>197</v>
      </c>
      <c r="C191" s="432" t="s">
        <v>198</v>
      </c>
      <c r="D191" s="432" t="s">
        <v>199</v>
      </c>
      <c r="E191" s="430" t="s">
        <v>525</v>
      </c>
      <c r="F191" s="430" t="s">
        <v>516</v>
      </c>
    </row>
    <row r="192" ht="12.75" customHeight="1">
      <c r="A192" s="430" t="s">
        <v>526</v>
      </c>
      <c r="B192" s="431" t="s">
        <v>197</v>
      </c>
      <c r="C192" s="432" t="s">
        <v>198</v>
      </c>
      <c r="D192" s="432" t="s">
        <v>199</v>
      </c>
      <c r="E192" s="430" t="s">
        <v>527</v>
      </c>
      <c r="F192" s="430" t="s">
        <v>516</v>
      </c>
    </row>
    <row r="193" ht="12.75" customHeight="1">
      <c r="A193" s="430" t="s">
        <v>528</v>
      </c>
      <c r="B193" s="431" t="s">
        <v>197</v>
      </c>
      <c r="C193" s="432" t="s">
        <v>198</v>
      </c>
      <c r="D193" s="432" t="s">
        <v>199</v>
      </c>
      <c r="E193" s="430" t="s">
        <v>221</v>
      </c>
      <c r="F193" s="430" t="s">
        <v>516</v>
      </c>
    </row>
    <row r="194" ht="12.75" customHeight="1">
      <c r="A194" s="430" t="s">
        <v>529</v>
      </c>
      <c r="B194" s="431" t="s">
        <v>197</v>
      </c>
      <c r="C194" s="432" t="s">
        <v>198</v>
      </c>
      <c r="D194" s="432" t="s">
        <v>199</v>
      </c>
      <c r="E194" s="430" t="s">
        <v>530</v>
      </c>
      <c r="F194" s="430" t="s">
        <v>516</v>
      </c>
    </row>
    <row r="195" ht="12.75" customHeight="1">
      <c r="A195" s="430" t="s">
        <v>531</v>
      </c>
      <c r="B195" s="431" t="s">
        <v>197</v>
      </c>
      <c r="C195" s="432" t="s">
        <v>198</v>
      </c>
      <c r="D195" s="432" t="s">
        <v>199</v>
      </c>
      <c r="E195" s="430" t="s">
        <v>220</v>
      </c>
      <c r="F195" s="430" t="s">
        <v>516</v>
      </c>
    </row>
    <row r="196" ht="12.75" customHeight="1">
      <c r="A196" s="430" t="s">
        <v>532</v>
      </c>
      <c r="B196" s="431" t="s">
        <v>197</v>
      </c>
      <c r="C196" s="432" t="s">
        <v>198</v>
      </c>
      <c r="D196" s="432" t="s">
        <v>199</v>
      </c>
      <c r="E196" s="430" t="s">
        <v>533</v>
      </c>
      <c r="F196" s="430" t="s">
        <v>516</v>
      </c>
    </row>
    <row r="197" ht="12.75" customHeight="1">
      <c r="A197" s="430" t="s">
        <v>534</v>
      </c>
      <c r="B197" s="431" t="s">
        <v>197</v>
      </c>
      <c r="C197" s="432" t="s">
        <v>198</v>
      </c>
      <c r="D197" s="432" t="s">
        <v>199</v>
      </c>
      <c r="E197" s="430" t="s">
        <v>535</v>
      </c>
      <c r="F197" s="430" t="s">
        <v>516</v>
      </c>
    </row>
    <row r="198" ht="12.75" customHeight="1">
      <c r="A198" s="430" t="s">
        <v>536</v>
      </c>
      <c r="B198" s="431" t="s">
        <v>197</v>
      </c>
      <c r="C198" s="432" t="s">
        <v>198</v>
      </c>
      <c r="D198" s="432" t="s">
        <v>199</v>
      </c>
      <c r="E198" s="430" t="s">
        <v>537</v>
      </c>
      <c r="F198" s="430" t="s">
        <v>516</v>
      </c>
    </row>
    <row r="199" ht="12.75" customHeight="1">
      <c r="A199" s="430" t="s">
        <v>538</v>
      </c>
      <c r="B199" s="431" t="s">
        <v>197</v>
      </c>
      <c r="C199" s="432" t="s">
        <v>198</v>
      </c>
      <c r="D199" s="432" t="s">
        <v>199</v>
      </c>
      <c r="E199" s="430" t="s">
        <v>539</v>
      </c>
      <c r="F199" s="430" t="s">
        <v>516</v>
      </c>
    </row>
    <row r="200" ht="12.75" customHeight="1">
      <c r="A200" s="430" t="s">
        <v>540</v>
      </c>
      <c r="B200" s="431" t="s">
        <v>197</v>
      </c>
      <c r="C200" s="432" t="s">
        <v>198</v>
      </c>
      <c r="D200" s="432" t="s">
        <v>199</v>
      </c>
      <c r="E200" s="430" t="s">
        <v>541</v>
      </c>
      <c r="F200" s="430" t="s">
        <v>516</v>
      </c>
    </row>
    <row r="201" ht="12.75" customHeight="1">
      <c r="A201" s="430" t="s">
        <v>542</v>
      </c>
      <c r="B201" s="431" t="s">
        <v>197</v>
      </c>
      <c r="C201" s="432" t="s">
        <v>198</v>
      </c>
      <c r="D201" s="432" t="s">
        <v>199</v>
      </c>
      <c r="E201" s="430" t="s">
        <v>543</v>
      </c>
      <c r="F201" s="430" t="s">
        <v>516</v>
      </c>
    </row>
    <row r="202" ht="12.75" customHeight="1">
      <c r="A202" s="430" t="s">
        <v>544</v>
      </c>
      <c r="B202" s="431" t="s">
        <v>197</v>
      </c>
      <c r="C202" s="432" t="s">
        <v>198</v>
      </c>
      <c r="D202" s="432" t="s">
        <v>199</v>
      </c>
      <c r="E202" s="430" t="s">
        <v>545</v>
      </c>
      <c r="F202" s="430" t="s">
        <v>516</v>
      </c>
    </row>
    <row r="203" ht="12.75" customHeight="1">
      <c r="A203" s="430" t="s">
        <v>546</v>
      </c>
      <c r="B203" s="431" t="s">
        <v>197</v>
      </c>
      <c r="C203" s="432" t="s">
        <v>198</v>
      </c>
      <c r="D203" s="432" t="s">
        <v>199</v>
      </c>
      <c r="E203" s="430" t="s">
        <v>547</v>
      </c>
      <c r="F203" s="430" t="s">
        <v>516</v>
      </c>
    </row>
    <row r="204" ht="12.75" customHeight="1">
      <c r="A204" s="430" t="s">
        <v>548</v>
      </c>
      <c r="B204" s="431" t="s">
        <v>197</v>
      </c>
      <c r="C204" s="432" t="s">
        <v>198</v>
      </c>
      <c r="D204" s="432" t="s">
        <v>199</v>
      </c>
      <c r="E204" s="430" t="s">
        <v>549</v>
      </c>
      <c r="F204" s="430" t="s">
        <v>516</v>
      </c>
    </row>
    <row r="205" ht="12.75" customHeight="1">
      <c r="A205" s="430" t="s">
        <v>550</v>
      </c>
      <c r="B205" s="431" t="s">
        <v>197</v>
      </c>
      <c r="C205" s="432" t="s">
        <v>198</v>
      </c>
      <c r="D205" s="432" t="s">
        <v>199</v>
      </c>
      <c r="E205" s="430" t="s">
        <v>551</v>
      </c>
      <c r="F205" s="430" t="s">
        <v>516</v>
      </c>
    </row>
    <row r="206" ht="12.75" customHeight="1">
      <c r="A206" s="430" t="s">
        <v>552</v>
      </c>
      <c r="B206" s="431" t="s">
        <v>197</v>
      </c>
      <c r="C206" s="432" t="s">
        <v>198</v>
      </c>
      <c r="D206" s="432" t="s">
        <v>199</v>
      </c>
      <c r="E206" s="430" t="s">
        <v>553</v>
      </c>
      <c r="F206" s="430" t="s">
        <v>516</v>
      </c>
    </row>
    <row r="207" ht="12.75" customHeight="1">
      <c r="A207" s="430" t="s">
        <v>554</v>
      </c>
      <c r="B207" s="431" t="s">
        <v>197</v>
      </c>
      <c r="C207" s="432" t="s">
        <v>198</v>
      </c>
      <c r="D207" s="432" t="s">
        <v>199</v>
      </c>
      <c r="E207" s="430" t="s">
        <v>555</v>
      </c>
      <c r="F207" s="430" t="s">
        <v>516</v>
      </c>
    </row>
    <row r="208" ht="12.75" customHeight="1">
      <c r="A208" s="430" t="s">
        <v>556</v>
      </c>
      <c r="B208" s="431" t="s">
        <v>197</v>
      </c>
      <c r="C208" s="432" t="s">
        <v>198</v>
      </c>
      <c r="D208" s="432" t="s">
        <v>199</v>
      </c>
      <c r="E208" s="430" t="s">
        <v>557</v>
      </c>
      <c r="F208" s="430" t="s">
        <v>516</v>
      </c>
    </row>
    <row r="209" ht="12.75" customHeight="1">
      <c r="A209" s="430" t="s">
        <v>558</v>
      </c>
      <c r="B209" s="431" t="s">
        <v>197</v>
      </c>
      <c r="C209" s="432" t="s">
        <v>198</v>
      </c>
      <c r="D209" s="432" t="s">
        <v>199</v>
      </c>
      <c r="E209" s="430" t="s">
        <v>559</v>
      </c>
      <c r="F209" s="430" t="s">
        <v>516</v>
      </c>
    </row>
    <row r="210" ht="12.75" customHeight="1">
      <c r="A210" s="430" t="s">
        <v>560</v>
      </c>
      <c r="B210" s="431" t="s">
        <v>197</v>
      </c>
      <c r="C210" s="432" t="s">
        <v>198</v>
      </c>
      <c r="D210" s="432" t="s">
        <v>199</v>
      </c>
      <c r="E210" s="430" t="s">
        <v>561</v>
      </c>
      <c r="F210" s="430" t="s">
        <v>516</v>
      </c>
    </row>
    <row r="211" ht="12.75" customHeight="1">
      <c r="A211" s="430" t="s">
        <v>562</v>
      </c>
      <c r="B211" s="431" t="s">
        <v>197</v>
      </c>
      <c r="C211" s="432" t="s">
        <v>198</v>
      </c>
      <c r="D211" s="432" t="s">
        <v>199</v>
      </c>
      <c r="E211" s="430" t="s">
        <v>563</v>
      </c>
      <c r="F211" s="430" t="s">
        <v>516</v>
      </c>
    </row>
    <row r="212" ht="12.75" customHeight="1">
      <c r="A212" s="430" t="s">
        <v>564</v>
      </c>
      <c r="B212" s="431" t="s">
        <v>197</v>
      </c>
      <c r="C212" s="432" t="s">
        <v>198</v>
      </c>
      <c r="D212" s="432" t="s">
        <v>199</v>
      </c>
      <c r="E212" s="430" t="s">
        <v>565</v>
      </c>
      <c r="F212" s="430" t="s">
        <v>516</v>
      </c>
    </row>
    <row r="213" ht="12.75" customHeight="1">
      <c r="A213" s="430" t="s">
        <v>566</v>
      </c>
      <c r="B213" s="431" t="s">
        <v>197</v>
      </c>
      <c r="C213" s="432" t="s">
        <v>198</v>
      </c>
      <c r="D213" s="432" t="s">
        <v>199</v>
      </c>
      <c r="E213" s="430" t="s">
        <v>567</v>
      </c>
      <c r="F213" s="430" t="s">
        <v>516</v>
      </c>
    </row>
    <row r="214" ht="12.75" customHeight="1">
      <c r="A214" s="430" t="s">
        <v>568</v>
      </c>
      <c r="B214" s="431" t="s">
        <v>197</v>
      </c>
      <c r="C214" s="432" t="s">
        <v>198</v>
      </c>
      <c r="D214" s="432" t="s">
        <v>199</v>
      </c>
      <c r="E214" s="430" t="s">
        <v>300</v>
      </c>
      <c r="F214" s="430" t="s">
        <v>516</v>
      </c>
    </row>
    <row r="215" ht="12.75" customHeight="1">
      <c r="A215" s="430" t="s">
        <v>569</v>
      </c>
      <c r="B215" s="431" t="s">
        <v>197</v>
      </c>
      <c r="C215" s="432" t="s">
        <v>198</v>
      </c>
      <c r="D215" s="432" t="s">
        <v>199</v>
      </c>
      <c r="E215" s="430" t="s">
        <v>570</v>
      </c>
      <c r="F215" s="430" t="s">
        <v>516</v>
      </c>
    </row>
    <row r="216" ht="12.75" customHeight="1">
      <c r="A216" s="430" t="s">
        <v>571</v>
      </c>
      <c r="B216" s="431" t="s">
        <v>197</v>
      </c>
      <c r="C216" s="432" t="s">
        <v>198</v>
      </c>
      <c r="D216" s="432" t="s">
        <v>199</v>
      </c>
      <c r="E216" s="430" t="s">
        <v>572</v>
      </c>
      <c r="F216" s="430" t="s">
        <v>516</v>
      </c>
    </row>
    <row r="217" ht="12.75" customHeight="1">
      <c r="A217" s="430" t="s">
        <v>573</v>
      </c>
      <c r="B217" s="431" t="s">
        <v>197</v>
      </c>
      <c r="C217" s="432" t="s">
        <v>198</v>
      </c>
      <c r="D217" s="432" t="s">
        <v>199</v>
      </c>
      <c r="E217" s="430" t="s">
        <v>574</v>
      </c>
      <c r="F217" s="430" t="s">
        <v>516</v>
      </c>
    </row>
    <row r="218" ht="12.75" customHeight="1">
      <c r="A218" s="430" t="s">
        <v>575</v>
      </c>
      <c r="B218" s="431" t="s">
        <v>197</v>
      </c>
      <c r="C218" s="432" t="s">
        <v>198</v>
      </c>
      <c r="D218" s="432" t="s">
        <v>199</v>
      </c>
      <c r="E218" s="430" t="s">
        <v>576</v>
      </c>
      <c r="F218" s="430" t="s">
        <v>516</v>
      </c>
    </row>
    <row r="219" ht="12.75" customHeight="1">
      <c r="A219" s="430" t="s">
        <v>577</v>
      </c>
      <c r="B219" s="431" t="s">
        <v>197</v>
      </c>
      <c r="C219" s="432" t="s">
        <v>198</v>
      </c>
      <c r="D219" s="432" t="s">
        <v>199</v>
      </c>
      <c r="E219" s="430" t="s">
        <v>578</v>
      </c>
      <c r="F219" s="430" t="s">
        <v>516</v>
      </c>
    </row>
    <row r="220" ht="12.75" customHeight="1">
      <c r="A220" s="430" t="s">
        <v>579</v>
      </c>
      <c r="B220" s="431" t="s">
        <v>197</v>
      </c>
      <c r="C220" s="432" t="s">
        <v>198</v>
      </c>
      <c r="D220" s="432" t="s">
        <v>199</v>
      </c>
      <c r="E220" s="430" t="s">
        <v>580</v>
      </c>
      <c r="F220" s="430" t="s">
        <v>516</v>
      </c>
    </row>
    <row r="221" ht="12.75" customHeight="1">
      <c r="A221" s="430" t="s">
        <v>581</v>
      </c>
      <c r="B221" s="431" t="s">
        <v>197</v>
      </c>
      <c r="C221" s="432" t="s">
        <v>198</v>
      </c>
      <c r="D221" s="432" t="s">
        <v>199</v>
      </c>
      <c r="E221" s="430" t="s">
        <v>582</v>
      </c>
      <c r="F221" s="430" t="s">
        <v>516</v>
      </c>
    </row>
    <row r="222" ht="12.75" customHeight="1">
      <c r="A222" s="430" t="s">
        <v>583</v>
      </c>
      <c r="B222" s="431" t="s">
        <v>197</v>
      </c>
      <c r="C222" s="432" t="s">
        <v>198</v>
      </c>
      <c r="D222" s="432" t="s">
        <v>199</v>
      </c>
      <c r="E222" s="430" t="s">
        <v>584</v>
      </c>
      <c r="F222" s="430" t="s">
        <v>516</v>
      </c>
    </row>
    <row r="223" ht="12.75" customHeight="1">
      <c r="A223" s="430" t="s">
        <v>585</v>
      </c>
      <c r="B223" s="431" t="s">
        <v>197</v>
      </c>
      <c r="C223" s="432" t="s">
        <v>198</v>
      </c>
      <c r="D223" s="432" t="s">
        <v>199</v>
      </c>
      <c r="E223" s="430" t="s">
        <v>336</v>
      </c>
      <c r="F223" s="430" t="s">
        <v>516</v>
      </c>
    </row>
    <row r="224" ht="12.75" customHeight="1">
      <c r="A224" s="430" t="s">
        <v>586</v>
      </c>
      <c r="B224" s="431" t="s">
        <v>358</v>
      </c>
      <c r="C224" s="434" t="s">
        <v>359</v>
      </c>
      <c r="D224" s="434" t="s">
        <v>360</v>
      </c>
      <c r="E224" s="430" t="s">
        <v>339</v>
      </c>
      <c r="F224" s="430" t="s">
        <v>516</v>
      </c>
    </row>
    <row r="225" ht="12.75" customHeight="1">
      <c r="A225" s="430" t="s">
        <v>587</v>
      </c>
      <c r="B225" s="431" t="s">
        <v>358</v>
      </c>
      <c r="C225" s="434" t="s">
        <v>359</v>
      </c>
      <c r="D225" s="434" t="s">
        <v>360</v>
      </c>
      <c r="E225" s="430" t="s">
        <v>341</v>
      </c>
      <c r="F225" s="430" t="s">
        <v>516</v>
      </c>
    </row>
    <row r="226" ht="12.75" customHeight="1">
      <c r="A226" s="430" t="s">
        <v>588</v>
      </c>
      <c r="B226" s="431" t="s">
        <v>358</v>
      </c>
      <c r="C226" s="434" t="s">
        <v>359</v>
      </c>
      <c r="D226" s="434" t="s">
        <v>360</v>
      </c>
      <c r="E226" s="430" t="s">
        <v>343</v>
      </c>
      <c r="F226" s="430" t="s">
        <v>516</v>
      </c>
    </row>
    <row r="227" ht="12.75" customHeight="1">
      <c r="A227" s="430" t="s">
        <v>589</v>
      </c>
      <c r="B227" s="431" t="s">
        <v>358</v>
      </c>
      <c r="C227" s="434" t="s">
        <v>359</v>
      </c>
      <c r="D227" s="434" t="s">
        <v>360</v>
      </c>
      <c r="E227" s="430" t="s">
        <v>345</v>
      </c>
      <c r="F227" s="430" t="s">
        <v>516</v>
      </c>
    </row>
    <row r="228" ht="12.75" customHeight="1">
      <c r="A228" s="430" t="s">
        <v>590</v>
      </c>
      <c r="B228" s="431" t="s">
        <v>358</v>
      </c>
      <c r="C228" s="434" t="s">
        <v>359</v>
      </c>
      <c r="D228" s="434" t="s">
        <v>360</v>
      </c>
      <c r="E228" s="430" t="s">
        <v>347</v>
      </c>
      <c r="F228" s="430" t="s">
        <v>516</v>
      </c>
    </row>
    <row r="229" ht="12.75" customHeight="1">
      <c r="A229" s="430" t="s">
        <v>591</v>
      </c>
      <c r="B229" s="431" t="s">
        <v>197</v>
      </c>
      <c r="C229" s="432" t="s">
        <v>198</v>
      </c>
      <c r="D229" s="432" t="s">
        <v>199</v>
      </c>
      <c r="E229" s="430" t="s">
        <v>349</v>
      </c>
      <c r="F229" s="430" t="s">
        <v>516</v>
      </c>
    </row>
    <row r="230" ht="12.75" customHeight="1">
      <c r="A230" s="430" t="s">
        <v>592</v>
      </c>
      <c r="B230" s="431" t="s">
        <v>197</v>
      </c>
      <c r="C230" s="432" t="s">
        <v>198</v>
      </c>
      <c r="D230" s="432" t="s">
        <v>199</v>
      </c>
      <c r="E230" s="430" t="s">
        <v>351</v>
      </c>
      <c r="F230" s="430" t="s">
        <v>516</v>
      </c>
    </row>
    <row r="231" ht="12.75" customHeight="1">
      <c r="A231" s="430" t="s">
        <v>593</v>
      </c>
      <c r="B231" s="431" t="s">
        <v>197</v>
      </c>
      <c r="C231" s="432" t="s">
        <v>198</v>
      </c>
      <c r="D231" s="432" t="s">
        <v>199</v>
      </c>
      <c r="E231" s="430" t="s">
        <v>210</v>
      </c>
      <c r="F231" s="430" t="s">
        <v>516</v>
      </c>
    </row>
    <row r="232" ht="12.75" customHeight="1">
      <c r="A232" s="430" t="s">
        <v>594</v>
      </c>
      <c r="B232" s="431" t="s">
        <v>358</v>
      </c>
      <c r="C232" s="434" t="s">
        <v>359</v>
      </c>
      <c r="D232" s="434" t="s">
        <v>360</v>
      </c>
      <c r="E232" s="430" t="s">
        <v>354</v>
      </c>
      <c r="F232" s="430" t="s">
        <v>516</v>
      </c>
    </row>
    <row r="233" ht="12.75" customHeight="1">
      <c r="A233" s="430" t="s">
        <v>595</v>
      </c>
      <c r="B233" s="431" t="s">
        <v>234</v>
      </c>
      <c r="C233" s="432" t="s">
        <v>235</v>
      </c>
      <c r="D233" s="432" t="s">
        <v>236</v>
      </c>
      <c r="E233" s="430" t="s">
        <v>211</v>
      </c>
      <c r="F233" s="430" t="s">
        <v>596</v>
      </c>
    </row>
    <row r="234" ht="12.75" customHeight="1">
      <c r="A234" s="430" t="s">
        <v>597</v>
      </c>
      <c r="B234" s="431" t="s">
        <v>234</v>
      </c>
      <c r="C234" s="432" t="s">
        <v>235</v>
      </c>
      <c r="D234" s="432" t="s">
        <v>236</v>
      </c>
      <c r="E234" s="430" t="s">
        <v>217</v>
      </c>
      <c r="F234" s="430" t="s">
        <v>596</v>
      </c>
    </row>
    <row r="235" ht="12.75" customHeight="1">
      <c r="A235" s="430" t="s">
        <v>598</v>
      </c>
      <c r="B235" s="431" t="s">
        <v>234</v>
      </c>
      <c r="C235" s="432" t="s">
        <v>235</v>
      </c>
      <c r="D235" s="432" t="s">
        <v>236</v>
      </c>
      <c r="E235" s="430" t="s">
        <v>225</v>
      </c>
      <c r="F235" s="430" t="s">
        <v>596</v>
      </c>
    </row>
    <row r="236" ht="12.75" customHeight="1">
      <c r="A236" s="430" t="s">
        <v>599</v>
      </c>
      <c r="B236" s="431" t="s">
        <v>234</v>
      </c>
      <c r="C236" s="432" t="s">
        <v>235</v>
      </c>
      <c r="D236" s="432" t="s">
        <v>236</v>
      </c>
      <c r="E236" s="430" t="s">
        <v>580</v>
      </c>
      <c r="F236" s="430" t="s">
        <v>596</v>
      </c>
    </row>
    <row r="237" ht="12.75" customHeight="1">
      <c r="A237" s="430" t="s">
        <v>600</v>
      </c>
      <c r="B237" s="431" t="s">
        <v>197</v>
      </c>
      <c r="C237" s="432" t="s">
        <v>198</v>
      </c>
      <c r="D237" s="432" t="s">
        <v>199</v>
      </c>
      <c r="E237" s="430" t="s">
        <v>210</v>
      </c>
      <c r="F237" s="430" t="s">
        <v>596</v>
      </c>
    </row>
    <row r="238" ht="12.75" customHeight="1">
      <c r="A238" s="430" t="s">
        <v>601</v>
      </c>
      <c r="B238" s="431" t="s">
        <v>197</v>
      </c>
      <c r="C238" s="432" t="s">
        <v>198</v>
      </c>
      <c r="D238" s="432" t="s">
        <v>199</v>
      </c>
    </row>
    <row r="239" ht="12.75" customHeight="1">
      <c r="A239" s="430" t="s">
        <v>602</v>
      </c>
      <c r="B239" s="431" t="s">
        <v>197</v>
      </c>
      <c r="C239" s="432" t="s">
        <v>198</v>
      </c>
      <c r="D239" s="432" t="s">
        <v>199</v>
      </c>
    </row>
    <row r="240" ht="12.75" customHeight="1">
      <c r="A240" s="430" t="s">
        <v>603</v>
      </c>
      <c r="B240" s="431" t="s">
        <v>197</v>
      </c>
      <c r="C240" s="432" t="s">
        <v>198</v>
      </c>
      <c r="D240" s="432" t="s">
        <v>199</v>
      </c>
    </row>
    <row r="241" ht="12.75" customHeight="1">
      <c r="A241" s="430" t="s">
        <v>604</v>
      </c>
      <c r="B241" s="431" t="s">
        <v>197</v>
      </c>
      <c r="C241" s="432" t="s">
        <v>198</v>
      </c>
      <c r="D241" s="432" t="s">
        <v>199</v>
      </c>
    </row>
    <row r="242" ht="12.75" customHeight="1">
      <c r="A242" s="430" t="s">
        <v>605</v>
      </c>
      <c r="B242" s="431" t="s">
        <v>197</v>
      </c>
      <c r="C242" s="432" t="s">
        <v>198</v>
      </c>
      <c r="D242" s="432" t="s">
        <v>199</v>
      </c>
    </row>
    <row r="243" ht="12.75" customHeight="1">
      <c r="A243" s="430" t="s">
        <v>606</v>
      </c>
      <c r="B243" s="431" t="s">
        <v>197</v>
      </c>
      <c r="C243" s="432" t="s">
        <v>198</v>
      </c>
      <c r="D243" s="432" t="s">
        <v>199</v>
      </c>
    </row>
    <row r="244" ht="12.75" customHeight="1">
      <c r="A244" s="430" t="s">
        <v>607</v>
      </c>
      <c r="B244" s="431" t="s">
        <v>197</v>
      </c>
      <c r="C244" s="432" t="s">
        <v>198</v>
      </c>
      <c r="D244" s="432" t="s">
        <v>199</v>
      </c>
    </row>
    <row r="245" ht="12.75" customHeight="1">
      <c r="A245" s="430" t="s">
        <v>608</v>
      </c>
      <c r="B245" s="431" t="s">
        <v>197</v>
      </c>
      <c r="C245" s="432" t="s">
        <v>198</v>
      </c>
      <c r="D245" s="432" t="s">
        <v>199</v>
      </c>
    </row>
    <row r="246" ht="12.75" customHeight="1">
      <c r="A246" s="430" t="s">
        <v>609</v>
      </c>
      <c r="B246" s="431" t="s">
        <v>358</v>
      </c>
      <c r="C246" s="434" t="s">
        <v>359</v>
      </c>
      <c r="D246" s="434" t="s">
        <v>360</v>
      </c>
    </row>
    <row r="247" ht="12.75" customHeight="1">
      <c r="A247" s="430" t="s">
        <v>610</v>
      </c>
      <c r="B247" s="431" t="s">
        <v>234</v>
      </c>
      <c r="C247" s="432" t="s">
        <v>235</v>
      </c>
      <c r="D247" s="432" t="s">
        <v>236</v>
      </c>
    </row>
    <row r="248" ht="12.75" customHeight="1">
      <c r="A248" s="430" t="s">
        <v>611</v>
      </c>
      <c r="B248" s="431" t="s">
        <v>234</v>
      </c>
      <c r="C248" s="432" t="s">
        <v>235</v>
      </c>
      <c r="D248" s="432" t="s">
        <v>236</v>
      </c>
    </row>
    <row r="249" ht="12.75" customHeight="1">
      <c r="A249" s="430" t="s">
        <v>612</v>
      </c>
      <c r="B249" s="431" t="s">
        <v>234</v>
      </c>
      <c r="C249" s="432" t="s">
        <v>235</v>
      </c>
      <c r="D249" s="432" t="s">
        <v>236</v>
      </c>
    </row>
    <row r="250" ht="12.75" customHeight="1">
      <c r="A250" s="430" t="s">
        <v>613</v>
      </c>
      <c r="B250" s="431" t="s">
        <v>234</v>
      </c>
      <c r="C250" s="432" t="s">
        <v>235</v>
      </c>
      <c r="D250" s="432" t="s">
        <v>236</v>
      </c>
    </row>
    <row r="251" ht="12.75" customHeight="1">
      <c r="A251" s="430" t="s">
        <v>614</v>
      </c>
      <c r="B251" s="431" t="s">
        <v>234</v>
      </c>
      <c r="C251" s="432" t="s">
        <v>235</v>
      </c>
      <c r="D251" s="432" t="s">
        <v>236</v>
      </c>
    </row>
    <row r="252" ht="12.75" customHeight="1">
      <c r="A252" s="430" t="s">
        <v>615</v>
      </c>
      <c r="B252" s="431" t="s">
        <v>234</v>
      </c>
      <c r="C252" s="432" t="s">
        <v>235</v>
      </c>
      <c r="D252" s="432" t="s">
        <v>236</v>
      </c>
    </row>
    <row r="253" ht="12.75" customHeight="1">
      <c r="A253" s="430" t="s">
        <v>616</v>
      </c>
      <c r="B253" s="431" t="s">
        <v>234</v>
      </c>
      <c r="C253" s="432" t="s">
        <v>235</v>
      </c>
      <c r="D253" s="432" t="s">
        <v>236</v>
      </c>
    </row>
    <row r="254" ht="12.75" customHeight="1">
      <c r="A254" s="430" t="s">
        <v>617</v>
      </c>
      <c r="B254" s="431" t="s">
        <v>234</v>
      </c>
      <c r="C254" s="432" t="s">
        <v>235</v>
      </c>
      <c r="D254" s="432" t="s">
        <v>236</v>
      </c>
    </row>
    <row r="255" ht="12.75" customHeight="1">
      <c r="A255" s="430" t="s">
        <v>618</v>
      </c>
      <c r="B255" s="430" t="s">
        <v>356</v>
      </c>
    </row>
    <row r="256" ht="12.75" customHeight="1">
      <c r="A256" s="430" t="s">
        <v>619</v>
      </c>
      <c r="B256" s="431" t="s">
        <v>234</v>
      </c>
      <c r="C256" s="432" t="s">
        <v>235</v>
      </c>
      <c r="D256" s="432" t="s">
        <v>236</v>
      </c>
    </row>
    <row r="257" ht="12.75" customHeight="1">
      <c r="A257" s="430" t="s">
        <v>620</v>
      </c>
      <c r="B257" s="431" t="s">
        <v>234</v>
      </c>
      <c r="C257" s="432" t="s">
        <v>235</v>
      </c>
      <c r="D257" s="432" t="s">
        <v>236</v>
      </c>
    </row>
    <row r="258" ht="12.75" customHeight="1">
      <c r="A258" s="430" t="s">
        <v>621</v>
      </c>
      <c r="B258" s="431" t="s">
        <v>234</v>
      </c>
      <c r="C258" s="432" t="s">
        <v>235</v>
      </c>
      <c r="D258" s="432" t="s">
        <v>236</v>
      </c>
    </row>
    <row r="259" ht="12.75" customHeight="1">
      <c r="A259" s="430" t="s">
        <v>622</v>
      </c>
      <c r="B259" s="431" t="s">
        <v>234</v>
      </c>
      <c r="C259" s="432" t="s">
        <v>235</v>
      </c>
      <c r="D259" s="432" t="s">
        <v>236</v>
      </c>
    </row>
    <row r="260" ht="12.75" customHeight="1">
      <c r="A260" s="430" t="s">
        <v>623</v>
      </c>
      <c r="B260" s="431" t="s">
        <v>234</v>
      </c>
      <c r="C260" s="432" t="s">
        <v>235</v>
      </c>
      <c r="D260" s="432" t="s">
        <v>236</v>
      </c>
    </row>
    <row r="261" ht="12.75" customHeight="1">
      <c r="A261" s="430" t="s">
        <v>624</v>
      </c>
      <c r="B261" s="431" t="s">
        <v>234</v>
      </c>
      <c r="C261" s="432" t="s">
        <v>235</v>
      </c>
      <c r="D261" s="432" t="s">
        <v>236</v>
      </c>
    </row>
    <row r="262" ht="12.75" customHeight="1">
      <c r="A262" s="430" t="s">
        <v>625</v>
      </c>
      <c r="B262" s="431" t="s">
        <v>234</v>
      </c>
      <c r="C262" s="432" t="s">
        <v>235</v>
      </c>
      <c r="D262" s="432" t="s">
        <v>236</v>
      </c>
    </row>
    <row r="263" ht="12.75" customHeight="1">
      <c r="A263" s="430" t="s">
        <v>626</v>
      </c>
      <c r="B263" s="431" t="s">
        <v>197</v>
      </c>
      <c r="C263" s="432" t="s">
        <v>198</v>
      </c>
      <c r="D263" s="432" t="s">
        <v>199</v>
      </c>
    </row>
    <row r="264" ht="12.75" customHeight="1">
      <c r="A264" s="430" t="s">
        <v>627</v>
      </c>
      <c r="B264" s="431" t="s">
        <v>234</v>
      </c>
      <c r="C264" s="432" t="s">
        <v>235</v>
      </c>
      <c r="D264" s="432" t="s">
        <v>236</v>
      </c>
    </row>
    <row r="265" ht="12.75" customHeight="1">
      <c r="A265" s="430" t="s">
        <v>628</v>
      </c>
      <c r="B265" s="431" t="s">
        <v>358</v>
      </c>
      <c r="C265" s="434" t="s">
        <v>359</v>
      </c>
      <c r="D265" s="434" t="s">
        <v>360</v>
      </c>
    </row>
    <row r="266" ht="12.75" customHeight="1">
      <c r="A266" s="430" t="s">
        <v>629</v>
      </c>
      <c r="B266" s="431" t="s">
        <v>358</v>
      </c>
      <c r="C266" s="434" t="s">
        <v>359</v>
      </c>
      <c r="D266" s="434" t="s">
        <v>360</v>
      </c>
    </row>
    <row r="267" ht="12.75" customHeight="1">
      <c r="A267" s="430" t="s">
        <v>630</v>
      </c>
      <c r="B267" s="431" t="s">
        <v>234</v>
      </c>
      <c r="C267" s="432" t="s">
        <v>235</v>
      </c>
      <c r="D267" s="432" t="s">
        <v>236</v>
      </c>
    </row>
    <row r="268" ht="12.75" customHeight="1">
      <c r="A268" s="430" t="s">
        <v>631</v>
      </c>
      <c r="B268" s="431" t="s">
        <v>234</v>
      </c>
      <c r="C268" s="432" t="s">
        <v>235</v>
      </c>
      <c r="D268" s="432" t="s">
        <v>236</v>
      </c>
    </row>
    <row r="269" ht="12.75" customHeight="1">
      <c r="A269" s="430" t="s">
        <v>632</v>
      </c>
      <c r="B269" s="431" t="s">
        <v>234</v>
      </c>
      <c r="C269" s="432" t="s">
        <v>235</v>
      </c>
      <c r="D269" s="432" t="s">
        <v>236</v>
      </c>
    </row>
    <row r="270" ht="12.75" customHeight="1">
      <c r="A270" s="430" t="s">
        <v>633</v>
      </c>
      <c r="B270" s="430" t="s">
        <v>381</v>
      </c>
    </row>
    <row r="271" ht="12.75" customHeight="1">
      <c r="A271" s="430" t="s">
        <v>634</v>
      </c>
      <c r="B271" s="431" t="s">
        <v>234</v>
      </c>
      <c r="C271" s="432" t="s">
        <v>235</v>
      </c>
      <c r="D271" s="432" t="s">
        <v>236</v>
      </c>
    </row>
    <row r="272" ht="12.75" customHeight="1">
      <c r="A272" s="430" t="s">
        <v>635</v>
      </c>
      <c r="B272" s="431" t="s">
        <v>197</v>
      </c>
      <c r="C272" s="432" t="s">
        <v>198</v>
      </c>
      <c r="D272" s="432" t="s">
        <v>199</v>
      </c>
    </row>
    <row r="273" ht="12.75" customHeight="1">
      <c r="A273" s="430" t="s">
        <v>636</v>
      </c>
      <c r="B273" s="431" t="s">
        <v>358</v>
      </c>
      <c r="C273" s="434" t="s">
        <v>359</v>
      </c>
      <c r="D273" s="434" t="s">
        <v>360</v>
      </c>
    </row>
    <row r="274" ht="12.75" customHeight="1">
      <c r="A274" s="430" t="s">
        <v>637</v>
      </c>
      <c r="B274" s="431" t="s">
        <v>234</v>
      </c>
      <c r="C274" s="432" t="s">
        <v>235</v>
      </c>
      <c r="D274" s="432" t="s">
        <v>236</v>
      </c>
    </row>
    <row r="275" ht="12.75" customHeight="1">
      <c r="A275" s="430" t="s">
        <v>638</v>
      </c>
      <c r="B275" s="431" t="s">
        <v>234</v>
      </c>
      <c r="C275" s="432" t="s">
        <v>235</v>
      </c>
      <c r="D275" s="432" t="s">
        <v>236</v>
      </c>
    </row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AC$1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37.71"/>
    <col customWidth="1" min="3" max="26" width="10.71"/>
  </cols>
  <sheetData>
    <row r="1" ht="12.75" customHeight="1"/>
    <row r="2" ht="12.75" customHeight="1">
      <c r="A2" s="428" t="s">
        <v>168</v>
      </c>
      <c r="B2" s="428" t="s">
        <v>639</v>
      </c>
    </row>
    <row r="3" ht="12.75" customHeight="1">
      <c r="A3" s="430" t="s">
        <v>640</v>
      </c>
      <c r="B3" s="430" t="s">
        <v>641</v>
      </c>
    </row>
    <row r="4" ht="12.75" customHeight="1">
      <c r="A4" s="430" t="s">
        <v>642</v>
      </c>
      <c r="B4" s="430" t="s">
        <v>643</v>
      </c>
    </row>
    <row r="5" ht="12.75" customHeight="1">
      <c r="A5" s="430" t="s">
        <v>36</v>
      </c>
      <c r="B5" s="430" t="s">
        <v>644</v>
      </c>
    </row>
    <row r="6" ht="12.75" customHeight="1">
      <c r="A6" s="430" t="s">
        <v>355</v>
      </c>
      <c r="B6" s="430" t="s">
        <v>356</v>
      </c>
    </row>
    <row r="7" ht="12.75" customHeight="1">
      <c r="A7" s="430" t="s">
        <v>645</v>
      </c>
      <c r="B7" s="430" t="s">
        <v>646</v>
      </c>
    </row>
    <row r="8" ht="12.75" customHeight="1">
      <c r="A8" s="430" t="s">
        <v>645</v>
      </c>
      <c r="B8" s="430" t="s">
        <v>647</v>
      </c>
    </row>
    <row r="9" ht="12.75" customHeight="1">
      <c r="A9" s="430" t="s">
        <v>648</v>
      </c>
      <c r="B9" s="430" t="s">
        <v>641</v>
      </c>
    </row>
    <row r="10" ht="12.75" customHeight="1">
      <c r="A10" s="430" t="s">
        <v>648</v>
      </c>
      <c r="B10" s="430" t="s">
        <v>644</v>
      </c>
    </row>
    <row r="11" ht="12.75" customHeight="1">
      <c r="A11" s="430" t="s">
        <v>648</v>
      </c>
      <c r="B11" s="430" t="s">
        <v>643</v>
      </c>
    </row>
    <row r="12" ht="12.75" customHeight="1">
      <c r="A12" s="430" t="s">
        <v>649</v>
      </c>
      <c r="B12" s="430" t="s">
        <v>647</v>
      </c>
    </row>
    <row r="13" ht="12.75" customHeight="1">
      <c r="A13" s="430" t="s">
        <v>649</v>
      </c>
      <c r="B13" s="430" t="s">
        <v>641</v>
      </c>
    </row>
    <row r="14" ht="12.75" customHeight="1">
      <c r="A14" s="430" t="s">
        <v>649</v>
      </c>
      <c r="B14" s="430" t="s">
        <v>641</v>
      </c>
    </row>
    <row r="15" ht="12.75" customHeight="1">
      <c r="A15" s="430" t="s">
        <v>649</v>
      </c>
      <c r="B15" s="430" t="s">
        <v>644</v>
      </c>
    </row>
    <row r="16" ht="12.75" customHeight="1">
      <c r="A16" s="430" t="s">
        <v>650</v>
      </c>
      <c r="B16" s="430" t="s">
        <v>644</v>
      </c>
    </row>
    <row r="17" ht="12.75" customHeight="1">
      <c r="A17" s="430" t="s">
        <v>650</v>
      </c>
      <c r="B17" s="430" t="s">
        <v>643</v>
      </c>
    </row>
    <row r="18" ht="12.75" customHeight="1">
      <c r="A18" s="430" t="s">
        <v>650</v>
      </c>
      <c r="B18" s="430" t="s">
        <v>381</v>
      </c>
    </row>
    <row r="19" ht="12.75" customHeight="1">
      <c r="A19" s="430" t="s">
        <v>403</v>
      </c>
      <c r="B19" s="430" t="s">
        <v>643</v>
      </c>
    </row>
    <row r="20" ht="12.75" customHeight="1">
      <c r="A20" s="430" t="s">
        <v>651</v>
      </c>
      <c r="B20" s="430" t="s">
        <v>647</v>
      </c>
    </row>
    <row r="21" ht="12.75" customHeight="1">
      <c r="A21" s="430" t="s">
        <v>652</v>
      </c>
      <c r="B21" s="430" t="s">
        <v>641</v>
      </c>
    </row>
    <row r="22" ht="12.75" customHeight="1">
      <c r="A22" s="430" t="s">
        <v>475</v>
      </c>
      <c r="B22" s="430" t="s">
        <v>643</v>
      </c>
    </row>
    <row r="23" ht="12.75" customHeight="1">
      <c r="A23" s="430" t="s">
        <v>476</v>
      </c>
      <c r="B23" s="430" t="s">
        <v>646</v>
      </c>
    </row>
    <row r="24" ht="12.75" customHeight="1">
      <c r="A24" s="430" t="s">
        <v>476</v>
      </c>
      <c r="B24" s="430" t="s">
        <v>647</v>
      </c>
    </row>
    <row r="25" ht="12.75" customHeight="1">
      <c r="A25" s="430" t="s">
        <v>653</v>
      </c>
      <c r="B25" s="430" t="s">
        <v>644</v>
      </c>
    </row>
    <row r="26" ht="12.75" customHeight="1">
      <c r="A26" s="430" t="s">
        <v>654</v>
      </c>
      <c r="B26" s="430" t="s">
        <v>641</v>
      </c>
    </row>
    <row r="27" ht="12.75" customHeight="1">
      <c r="A27" s="430" t="s">
        <v>513</v>
      </c>
      <c r="B27" s="430" t="s">
        <v>643</v>
      </c>
    </row>
    <row r="28" ht="12.75" customHeight="1">
      <c r="A28" s="430" t="s">
        <v>655</v>
      </c>
      <c r="B28" s="430" t="s">
        <v>643</v>
      </c>
    </row>
    <row r="29" ht="12.75" customHeight="1">
      <c r="A29" s="430" t="s">
        <v>517</v>
      </c>
      <c r="B29" s="430" t="s">
        <v>644</v>
      </c>
    </row>
    <row r="30" ht="12.75" customHeight="1">
      <c r="A30" s="430" t="s">
        <v>656</v>
      </c>
      <c r="B30" s="430" t="s">
        <v>641</v>
      </c>
    </row>
    <row r="31" ht="12.75" customHeight="1">
      <c r="A31" s="430" t="s">
        <v>657</v>
      </c>
      <c r="B31" s="430" t="s">
        <v>641</v>
      </c>
    </row>
    <row r="32" ht="12.75" customHeight="1">
      <c r="A32" s="430" t="s">
        <v>585</v>
      </c>
      <c r="B32" s="430" t="s">
        <v>644</v>
      </c>
    </row>
    <row r="33" ht="12.75" customHeight="1">
      <c r="A33" s="430" t="s">
        <v>658</v>
      </c>
      <c r="B33" s="430" t="s">
        <v>646</v>
      </c>
    </row>
    <row r="34" ht="12.75" customHeight="1">
      <c r="A34" s="430" t="s">
        <v>659</v>
      </c>
      <c r="B34" s="430" t="s">
        <v>647</v>
      </c>
    </row>
    <row r="35" ht="12.75" customHeight="1">
      <c r="A35" s="430" t="s">
        <v>660</v>
      </c>
      <c r="B35" s="430" t="s">
        <v>641</v>
      </c>
    </row>
    <row r="36" ht="12.75" customHeight="1">
      <c r="A36" s="430" t="s">
        <v>661</v>
      </c>
      <c r="B36" s="430" t="s">
        <v>647</v>
      </c>
    </row>
    <row r="37" ht="12.75" customHeight="1">
      <c r="A37" s="430" t="s">
        <v>595</v>
      </c>
      <c r="B37" s="430" t="s">
        <v>643</v>
      </c>
    </row>
    <row r="38" ht="12.75" customHeight="1">
      <c r="A38" s="430" t="s">
        <v>662</v>
      </c>
      <c r="B38" s="430" t="s">
        <v>641</v>
      </c>
    </row>
    <row r="39" ht="12.75" customHeight="1">
      <c r="A39" s="430" t="s">
        <v>663</v>
      </c>
      <c r="B39" s="430" t="s">
        <v>647</v>
      </c>
    </row>
    <row r="40" ht="12.75" customHeight="1">
      <c r="A40" s="430" t="s">
        <v>663</v>
      </c>
      <c r="B40" s="430" t="s">
        <v>641</v>
      </c>
    </row>
    <row r="41" ht="12.75" customHeight="1">
      <c r="A41" s="430" t="s">
        <v>610</v>
      </c>
      <c r="B41" s="430" t="s">
        <v>643</v>
      </c>
    </row>
    <row r="42" ht="12.75" customHeight="1">
      <c r="A42" s="430" t="s">
        <v>614</v>
      </c>
      <c r="B42" s="430" t="s">
        <v>643</v>
      </c>
    </row>
    <row r="43" ht="12.75" customHeight="1">
      <c r="A43" s="430" t="s">
        <v>618</v>
      </c>
      <c r="B43" s="430" t="s">
        <v>356</v>
      </c>
    </row>
    <row r="44" ht="12.75" customHeight="1">
      <c r="A44" s="430" t="s">
        <v>664</v>
      </c>
      <c r="B44" s="430" t="s">
        <v>644</v>
      </c>
    </row>
    <row r="45" ht="12.75" customHeight="1">
      <c r="A45" s="430" t="s">
        <v>665</v>
      </c>
      <c r="B45" s="430" t="s">
        <v>644</v>
      </c>
    </row>
    <row r="46" ht="12.75" customHeight="1">
      <c r="A46" s="430" t="s">
        <v>627</v>
      </c>
      <c r="B46" s="430" t="s">
        <v>643</v>
      </c>
    </row>
    <row r="47" ht="12.75" customHeight="1">
      <c r="A47" s="430" t="s">
        <v>666</v>
      </c>
      <c r="B47" s="430" t="s">
        <v>646</v>
      </c>
    </row>
    <row r="48" ht="12.75" customHeight="1">
      <c r="A48" s="430" t="s">
        <v>667</v>
      </c>
      <c r="B48" s="430" t="s">
        <v>647</v>
      </c>
    </row>
    <row r="49" ht="12.75" customHeight="1">
      <c r="A49" s="430" t="s">
        <v>668</v>
      </c>
      <c r="B49" s="430" t="s">
        <v>644</v>
      </c>
    </row>
    <row r="50" ht="12.75" customHeight="1">
      <c r="A50" s="430" t="s">
        <v>669</v>
      </c>
      <c r="B50" s="430" t="s">
        <v>381</v>
      </c>
    </row>
    <row r="51" ht="12.75" customHeight="1">
      <c r="A51" s="430" t="s">
        <v>670</v>
      </c>
      <c r="B51" s="430" t="s">
        <v>643</v>
      </c>
    </row>
    <row r="52" ht="12.75" customHeight="1">
      <c r="A52" s="430" t="s">
        <v>671</v>
      </c>
      <c r="B52" s="430" t="s">
        <v>647</v>
      </c>
    </row>
    <row r="53" ht="12.75" customHeight="1">
      <c r="A53" s="430" t="s">
        <v>671</v>
      </c>
      <c r="B53" s="430" t="s">
        <v>641</v>
      </c>
    </row>
    <row r="54" ht="12.75" customHeight="1">
      <c r="A54" s="430" t="s">
        <v>92</v>
      </c>
      <c r="B54" s="430" t="s">
        <v>643</v>
      </c>
    </row>
    <row r="55" ht="12.75" customHeight="1">
      <c r="A55" s="430" t="s">
        <v>672</v>
      </c>
      <c r="B55" s="430" t="s">
        <v>643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2:$B$55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7.0"/>
    <col customWidth="1" min="4" max="4" width="50.71"/>
    <col customWidth="1" min="5" max="5" width="30.71"/>
    <col customWidth="1" min="6" max="6" width="20.29"/>
    <col customWidth="1" min="7" max="8" width="3.14"/>
    <col customWidth="1" min="9" max="10" width="12.0"/>
    <col customWidth="1" min="11" max="11" width="11.43"/>
    <col customWidth="1" min="12" max="12" width="3.71"/>
    <col customWidth="1" min="13" max="13" width="13.43"/>
    <col customWidth="1" min="14" max="14" width="3.71"/>
    <col customWidth="1" min="15" max="16" width="12.0"/>
    <col customWidth="1" min="17" max="26" width="10.71"/>
  </cols>
  <sheetData>
    <row r="1" ht="12.75" customHeight="1">
      <c r="A1" s="437" t="s">
        <v>673</v>
      </c>
      <c r="B1" s="438"/>
      <c r="C1" s="438"/>
      <c r="D1" s="439" t="s">
        <v>674</v>
      </c>
      <c r="E1" s="440" t="s">
        <v>32</v>
      </c>
      <c r="F1" s="441" t="s">
        <v>169</v>
      </c>
      <c r="G1" s="442"/>
      <c r="H1" s="442"/>
      <c r="I1" s="440" t="s">
        <v>675</v>
      </c>
      <c r="J1" s="440" t="s">
        <v>676</v>
      </c>
      <c r="K1" s="440" t="s">
        <v>677</v>
      </c>
      <c r="L1" s="443"/>
      <c r="M1" s="440" t="s">
        <v>678</v>
      </c>
      <c r="N1" s="440"/>
      <c r="O1" s="440" t="s">
        <v>679</v>
      </c>
      <c r="P1" s="440" t="s">
        <v>680</v>
      </c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2.75" customHeight="1">
      <c r="A2" s="444" t="s">
        <v>681</v>
      </c>
      <c r="B2" s="445" t="s">
        <v>682</v>
      </c>
      <c r="C2" s="445" t="s">
        <v>682</v>
      </c>
      <c r="D2" s="446" t="s">
        <v>683</v>
      </c>
      <c r="E2" s="430" t="s">
        <v>196</v>
      </c>
      <c r="F2" s="431" t="s">
        <v>234</v>
      </c>
      <c r="G2" s="432" t="s">
        <v>235</v>
      </c>
      <c r="H2" s="432" t="s">
        <v>236</v>
      </c>
      <c r="I2" s="36" t="s">
        <v>43</v>
      </c>
      <c r="J2" s="36" t="s">
        <v>684</v>
      </c>
      <c r="K2" s="36">
        <v>31.0</v>
      </c>
      <c r="L2" s="443" t="s">
        <v>359</v>
      </c>
      <c r="M2" s="447">
        <v>145000.0</v>
      </c>
      <c r="N2" s="443" t="s">
        <v>359</v>
      </c>
      <c r="O2" s="447">
        <v>500.0</v>
      </c>
      <c r="P2" s="447" t="s">
        <v>4</v>
      </c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2.75" customHeight="1">
      <c r="A3" s="444" t="s">
        <v>685</v>
      </c>
      <c r="B3" s="445" t="s">
        <v>686</v>
      </c>
      <c r="C3" s="445" t="s">
        <v>682</v>
      </c>
      <c r="D3" s="446" t="s">
        <v>687</v>
      </c>
      <c r="E3" s="430" t="s">
        <v>212</v>
      </c>
      <c r="F3" s="431" t="s">
        <v>197</v>
      </c>
      <c r="G3" s="432" t="s">
        <v>198</v>
      </c>
      <c r="H3" s="432" t="s">
        <v>199</v>
      </c>
      <c r="I3" s="36" t="s">
        <v>688</v>
      </c>
      <c r="J3" s="36" t="s">
        <v>689</v>
      </c>
      <c r="K3" s="36">
        <f>IF(((YEAR(NOW())/4)-(INT((YEAR(NOW())/4))))=0,29,28)</f>
        <v>28</v>
      </c>
      <c r="L3" s="443" t="s">
        <v>359</v>
      </c>
      <c r="M3" s="447">
        <v>104000.0</v>
      </c>
      <c r="N3" s="443" t="s">
        <v>359</v>
      </c>
      <c r="O3" s="447">
        <v>500.0</v>
      </c>
      <c r="P3" s="447" t="s">
        <v>690</v>
      </c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2.75" customHeight="1">
      <c r="A4" s="444" t="s">
        <v>691</v>
      </c>
      <c r="B4" s="445" t="s">
        <v>692</v>
      </c>
      <c r="C4" s="445" t="s">
        <v>682</v>
      </c>
      <c r="D4" s="446" t="s">
        <v>693</v>
      </c>
      <c r="E4" s="430" t="s">
        <v>36</v>
      </c>
      <c r="F4" s="431" t="s">
        <v>234</v>
      </c>
      <c r="G4" s="432" t="s">
        <v>235</v>
      </c>
      <c r="H4" s="432" t="s">
        <v>236</v>
      </c>
      <c r="I4" s="36"/>
      <c r="J4" s="36" t="s">
        <v>41</v>
      </c>
      <c r="K4" s="36">
        <v>31.0</v>
      </c>
      <c r="L4" s="443" t="s">
        <v>359</v>
      </c>
      <c r="M4" s="447">
        <v>88000.0</v>
      </c>
      <c r="N4" s="443" t="s">
        <v>359</v>
      </c>
      <c r="O4" s="447">
        <v>449.0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2.75" customHeight="1">
      <c r="A5" s="444" t="s">
        <v>694</v>
      </c>
      <c r="B5" s="445" t="s">
        <v>695</v>
      </c>
      <c r="C5" s="445" t="s">
        <v>682</v>
      </c>
      <c r="D5" s="446" t="s">
        <v>696</v>
      </c>
      <c r="E5" s="430" t="s">
        <v>355</v>
      </c>
      <c r="F5" s="431" t="s">
        <v>234</v>
      </c>
      <c r="G5" s="432" t="s">
        <v>235</v>
      </c>
      <c r="H5" s="432" t="s">
        <v>236</v>
      </c>
      <c r="I5" s="36"/>
      <c r="J5" s="36" t="s">
        <v>697</v>
      </c>
      <c r="K5" s="36">
        <v>30.0</v>
      </c>
      <c r="L5" s="443" t="s">
        <v>198</v>
      </c>
      <c r="M5" s="447">
        <v>130000.0</v>
      </c>
      <c r="N5" s="443" t="s">
        <v>198</v>
      </c>
      <c r="O5" s="447">
        <v>388.0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2.75" customHeight="1">
      <c r="A6" s="444" t="s">
        <v>698</v>
      </c>
      <c r="B6" s="445" t="s">
        <v>699</v>
      </c>
      <c r="C6" s="445" t="s">
        <v>682</v>
      </c>
      <c r="D6" s="446" t="s">
        <v>700</v>
      </c>
      <c r="E6" s="430" t="s">
        <v>701</v>
      </c>
      <c r="F6" s="431" t="s">
        <v>358</v>
      </c>
      <c r="G6" s="432" t="s">
        <v>359</v>
      </c>
      <c r="H6" s="432" t="s">
        <v>360</v>
      </c>
      <c r="I6" s="36"/>
      <c r="J6" s="36" t="s">
        <v>702</v>
      </c>
      <c r="K6" s="36">
        <v>31.0</v>
      </c>
      <c r="L6" s="443" t="s">
        <v>198</v>
      </c>
      <c r="M6" s="447">
        <v>91000.0</v>
      </c>
      <c r="N6" s="443" t="s">
        <v>198</v>
      </c>
      <c r="O6" s="447">
        <v>388.0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2.75" customHeight="1">
      <c r="A7" s="444" t="s">
        <v>703</v>
      </c>
      <c r="B7" s="445" t="s">
        <v>704</v>
      </c>
      <c r="C7" s="445" t="s">
        <v>682</v>
      </c>
      <c r="D7" s="446" t="s">
        <v>705</v>
      </c>
      <c r="E7" s="430" t="s">
        <v>648</v>
      </c>
      <c r="F7" s="431" t="s">
        <v>234</v>
      </c>
      <c r="G7" s="432" t="s">
        <v>235</v>
      </c>
      <c r="H7" s="432" t="s">
        <v>236</v>
      </c>
      <c r="I7" s="36"/>
      <c r="J7" s="36" t="s">
        <v>706</v>
      </c>
      <c r="K7" s="36">
        <v>30.0</v>
      </c>
      <c r="L7" s="443" t="s">
        <v>198</v>
      </c>
      <c r="M7" s="447">
        <v>73000.0</v>
      </c>
      <c r="N7" s="443" t="s">
        <v>198</v>
      </c>
      <c r="O7" s="447">
        <v>358.0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2.75" customHeight="1">
      <c r="A8" s="444" t="s">
        <v>707</v>
      </c>
      <c r="B8" s="445" t="s">
        <v>708</v>
      </c>
      <c r="C8" s="445" t="s">
        <v>682</v>
      </c>
      <c r="D8" s="446" t="s">
        <v>709</v>
      </c>
      <c r="E8" s="430" t="s">
        <v>367</v>
      </c>
      <c r="F8" s="431" t="s">
        <v>358</v>
      </c>
      <c r="G8" s="432" t="s">
        <v>359</v>
      </c>
      <c r="H8" s="432" t="s">
        <v>360</v>
      </c>
      <c r="I8" s="36"/>
      <c r="J8" s="36" t="s">
        <v>710</v>
      </c>
      <c r="K8" s="36">
        <v>31.0</v>
      </c>
      <c r="L8" s="443" t="s">
        <v>235</v>
      </c>
      <c r="M8" s="447">
        <v>110000.0</v>
      </c>
      <c r="N8" s="443" t="s">
        <v>235</v>
      </c>
      <c r="O8" s="447">
        <v>322.0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2.75" customHeight="1">
      <c r="A9" s="36" t="s">
        <v>711</v>
      </c>
      <c r="B9" s="432" t="s">
        <v>712</v>
      </c>
      <c r="C9" s="445" t="s">
        <v>682</v>
      </c>
      <c r="D9" s="446" t="s">
        <v>713</v>
      </c>
      <c r="E9" s="430" t="s">
        <v>368</v>
      </c>
      <c r="F9" s="431" t="s">
        <v>234</v>
      </c>
      <c r="G9" s="432" t="s">
        <v>235</v>
      </c>
      <c r="H9" s="432" t="s">
        <v>236</v>
      </c>
      <c r="I9" s="36"/>
      <c r="J9" s="36" t="s">
        <v>714</v>
      </c>
      <c r="K9" s="36">
        <v>31.0</v>
      </c>
      <c r="L9" s="443" t="s">
        <v>235</v>
      </c>
      <c r="M9" s="447">
        <v>76000.0</v>
      </c>
      <c r="N9" s="443" t="s">
        <v>235</v>
      </c>
      <c r="O9" s="447">
        <v>322.0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2.75" customHeight="1">
      <c r="A10" s="36" t="s">
        <v>715</v>
      </c>
      <c r="B10" s="432" t="s">
        <v>716</v>
      </c>
      <c r="C10" s="445" t="s">
        <v>682</v>
      </c>
      <c r="D10" s="446" t="s">
        <v>717</v>
      </c>
      <c r="E10" s="430" t="s">
        <v>370</v>
      </c>
      <c r="F10" s="431" t="s">
        <v>197</v>
      </c>
      <c r="G10" s="432" t="s">
        <v>198</v>
      </c>
      <c r="H10" s="432" t="s">
        <v>199</v>
      </c>
      <c r="I10" s="36"/>
      <c r="J10" s="36" t="s">
        <v>718</v>
      </c>
      <c r="K10" s="36">
        <v>30.0</v>
      </c>
      <c r="L10" s="443" t="s">
        <v>235</v>
      </c>
      <c r="M10" s="447">
        <v>61000.0</v>
      </c>
      <c r="N10" s="443" t="s">
        <v>235</v>
      </c>
      <c r="O10" s="447">
        <v>300.0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2.75" customHeight="1">
      <c r="A11" s="444" t="s">
        <v>719</v>
      </c>
      <c r="B11" s="432" t="s">
        <v>720</v>
      </c>
      <c r="C11" s="445" t="s">
        <v>682</v>
      </c>
      <c r="D11" s="446" t="s">
        <v>721</v>
      </c>
      <c r="E11" s="430" t="s">
        <v>650</v>
      </c>
      <c r="F11" s="431" t="s">
        <v>234</v>
      </c>
      <c r="G11" s="432" t="s">
        <v>235</v>
      </c>
      <c r="H11" s="432" t="s">
        <v>236</v>
      </c>
      <c r="I11" s="36"/>
      <c r="J11" s="36" t="s">
        <v>722</v>
      </c>
      <c r="K11" s="36">
        <v>31.0</v>
      </c>
      <c r="L11" s="448"/>
      <c r="M11" s="36" t="s">
        <v>723</v>
      </c>
      <c r="N11" s="36"/>
      <c r="O11" s="36" t="s">
        <v>723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2.75" customHeight="1">
      <c r="A12" s="444" t="s">
        <v>724</v>
      </c>
      <c r="B12" s="432" t="s">
        <v>725</v>
      </c>
      <c r="C12" s="445" t="s">
        <v>682</v>
      </c>
      <c r="D12" s="446" t="s">
        <v>726</v>
      </c>
      <c r="E12" s="430" t="s">
        <v>403</v>
      </c>
      <c r="F12" s="431" t="s">
        <v>234</v>
      </c>
      <c r="G12" s="432" t="s">
        <v>235</v>
      </c>
      <c r="H12" s="432" t="s">
        <v>236</v>
      </c>
      <c r="I12" s="36"/>
      <c r="J12" s="36" t="s">
        <v>727</v>
      </c>
      <c r="K12" s="36">
        <v>30.0</v>
      </c>
      <c r="L12" s="448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2.75" customHeight="1">
      <c r="A13" s="444"/>
      <c r="B13" s="432"/>
      <c r="C13" s="445" t="s">
        <v>682</v>
      </c>
      <c r="D13" s="446" t="s">
        <v>728</v>
      </c>
      <c r="E13" s="430" t="s">
        <v>408</v>
      </c>
      <c r="F13" s="431" t="s">
        <v>358</v>
      </c>
      <c r="G13" s="432" t="s">
        <v>359</v>
      </c>
      <c r="H13" s="432" t="s">
        <v>360</v>
      </c>
      <c r="I13" s="36"/>
      <c r="J13" s="36" t="s">
        <v>729</v>
      </c>
      <c r="K13" s="36">
        <v>31.0</v>
      </c>
      <c r="L13" s="449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2.75" customHeight="1">
      <c r="A14" s="36"/>
      <c r="B14" s="432"/>
      <c r="C14" s="445" t="s">
        <v>682</v>
      </c>
      <c r="D14" s="446" t="s">
        <v>730</v>
      </c>
      <c r="E14" s="430" t="s">
        <v>652</v>
      </c>
      <c r="F14" s="431" t="s">
        <v>197</v>
      </c>
      <c r="G14" s="432" t="s">
        <v>198</v>
      </c>
      <c r="H14" s="432" t="s">
        <v>199</v>
      </c>
      <c r="I14" s="36"/>
      <c r="J14" s="36"/>
      <c r="K14" s="36"/>
      <c r="L14" s="449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2.75" customHeight="1">
      <c r="A15" s="36"/>
      <c r="B15" s="432"/>
      <c r="C15" s="445" t="s">
        <v>686</v>
      </c>
      <c r="D15" s="446" t="s">
        <v>731</v>
      </c>
      <c r="E15" s="430" t="s">
        <v>732</v>
      </c>
      <c r="F15" s="431" t="s">
        <v>358</v>
      </c>
      <c r="G15" s="432" t="s">
        <v>359</v>
      </c>
      <c r="H15" s="432" t="s">
        <v>360</v>
      </c>
      <c r="I15" s="36"/>
      <c r="J15" s="36"/>
      <c r="K15" s="36"/>
      <c r="L15" s="449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2.75" customHeight="1">
      <c r="A16" s="36"/>
      <c r="B16" s="432"/>
      <c r="C16" s="445" t="s">
        <v>686</v>
      </c>
      <c r="D16" s="446" t="s">
        <v>733</v>
      </c>
      <c r="E16" s="430" t="s">
        <v>489</v>
      </c>
      <c r="F16" s="431" t="s">
        <v>358</v>
      </c>
      <c r="G16" s="432" t="s">
        <v>359</v>
      </c>
      <c r="H16" s="432" t="s">
        <v>360</v>
      </c>
      <c r="I16" s="36"/>
      <c r="J16" s="36"/>
      <c r="K16" s="36"/>
      <c r="L16" s="450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2.75" customHeight="1">
      <c r="A17" s="36"/>
      <c r="B17" s="432"/>
      <c r="C17" s="445" t="s">
        <v>686</v>
      </c>
      <c r="D17" s="446" t="s">
        <v>734</v>
      </c>
      <c r="E17" s="430" t="s">
        <v>735</v>
      </c>
      <c r="F17" s="431" t="s">
        <v>358</v>
      </c>
      <c r="G17" s="432" t="s">
        <v>359</v>
      </c>
      <c r="H17" s="432" t="s">
        <v>360</v>
      </c>
      <c r="I17" s="36"/>
      <c r="J17" s="36"/>
      <c r="K17" s="36"/>
      <c r="L17" s="450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75" customHeight="1">
      <c r="A18" s="36"/>
      <c r="B18" s="432"/>
      <c r="C18" s="445" t="s">
        <v>686</v>
      </c>
      <c r="D18" s="446" t="s">
        <v>345</v>
      </c>
      <c r="E18" s="430" t="s">
        <v>494</v>
      </c>
      <c r="F18" s="431" t="s">
        <v>358</v>
      </c>
      <c r="G18" s="432" t="s">
        <v>359</v>
      </c>
      <c r="H18" s="432" t="s">
        <v>360</v>
      </c>
      <c r="I18" s="36"/>
      <c r="J18" s="36"/>
      <c r="K18" s="36"/>
      <c r="L18" s="450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75" customHeight="1">
      <c r="A19" s="36"/>
      <c r="B19" s="432"/>
      <c r="C19" s="445" t="s">
        <v>686</v>
      </c>
      <c r="D19" s="446" t="s">
        <v>736</v>
      </c>
      <c r="E19" s="431" t="s">
        <v>509</v>
      </c>
      <c r="F19" s="431" t="s">
        <v>234</v>
      </c>
      <c r="G19" s="432" t="s">
        <v>235</v>
      </c>
      <c r="H19" s="432" t="s">
        <v>236</v>
      </c>
      <c r="I19" s="36"/>
      <c r="J19" s="36"/>
      <c r="K19" s="36"/>
      <c r="L19" s="450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75" customHeight="1">
      <c r="A20" s="36"/>
      <c r="B20" s="432"/>
      <c r="C20" s="445" t="s">
        <v>686</v>
      </c>
      <c r="D20" s="446" t="s">
        <v>737</v>
      </c>
      <c r="E20" s="431" t="s">
        <v>510</v>
      </c>
      <c r="F20" s="431" t="s">
        <v>197</v>
      </c>
      <c r="G20" s="432" t="s">
        <v>198</v>
      </c>
      <c r="H20" s="432" t="s">
        <v>199</v>
      </c>
      <c r="I20" s="36"/>
      <c r="J20" s="36"/>
      <c r="K20" s="36"/>
      <c r="L20" s="451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75" customHeight="1">
      <c r="A21" s="36"/>
      <c r="B21" s="432"/>
      <c r="C21" s="445" t="s">
        <v>686</v>
      </c>
      <c r="D21" s="446" t="s">
        <v>738</v>
      </c>
      <c r="E21" s="430" t="s">
        <v>656</v>
      </c>
      <c r="F21" s="431" t="s">
        <v>197</v>
      </c>
      <c r="G21" s="432" t="s">
        <v>198</v>
      </c>
      <c r="H21" s="432" t="s">
        <v>199</v>
      </c>
      <c r="I21" s="36"/>
      <c r="J21" s="36"/>
      <c r="K21" s="36"/>
      <c r="L21" s="450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75" customHeight="1">
      <c r="A22" s="36"/>
      <c r="B22" s="432"/>
      <c r="C22" s="445" t="s">
        <v>686</v>
      </c>
      <c r="D22" s="446" t="s">
        <v>728</v>
      </c>
      <c r="E22" s="430" t="s">
        <v>585</v>
      </c>
      <c r="F22" s="431" t="s">
        <v>197</v>
      </c>
      <c r="G22" s="432" t="s">
        <v>198</v>
      </c>
      <c r="H22" s="432" t="s">
        <v>199</v>
      </c>
      <c r="I22" s="36"/>
      <c r="J22" s="36"/>
      <c r="K22" s="36"/>
      <c r="L22" s="450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75" customHeight="1">
      <c r="A23" s="36"/>
      <c r="B23" s="432"/>
      <c r="C23" s="445" t="s">
        <v>686</v>
      </c>
      <c r="D23" s="446" t="s">
        <v>739</v>
      </c>
      <c r="E23" s="430" t="s">
        <v>740</v>
      </c>
      <c r="F23" s="431" t="s">
        <v>358</v>
      </c>
      <c r="G23" s="432" t="s">
        <v>359</v>
      </c>
      <c r="H23" s="432" t="s">
        <v>360</v>
      </c>
      <c r="I23" s="36"/>
      <c r="J23" s="36"/>
      <c r="K23" s="36"/>
      <c r="L23" s="450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75" customHeight="1">
      <c r="A24" s="36"/>
      <c r="B24" s="432"/>
      <c r="C24" s="445" t="s">
        <v>692</v>
      </c>
      <c r="D24" s="446" t="s">
        <v>741</v>
      </c>
      <c r="E24" s="430" t="s">
        <v>588</v>
      </c>
      <c r="F24" s="431" t="s">
        <v>358</v>
      </c>
      <c r="G24" s="432" t="s">
        <v>359</v>
      </c>
      <c r="H24" s="432" t="s">
        <v>360</v>
      </c>
      <c r="I24" s="36"/>
      <c r="J24" s="36"/>
      <c r="K24" s="36"/>
      <c r="L24" s="450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75" customHeight="1">
      <c r="A25" s="36"/>
      <c r="B25" s="432"/>
      <c r="C25" s="445" t="s">
        <v>692</v>
      </c>
      <c r="D25" s="446" t="s">
        <v>742</v>
      </c>
      <c r="E25" s="430" t="s">
        <v>743</v>
      </c>
      <c r="F25" s="431" t="s">
        <v>358</v>
      </c>
      <c r="G25" s="432" t="s">
        <v>359</v>
      </c>
      <c r="H25" s="432" t="s">
        <v>360</v>
      </c>
      <c r="I25" s="36"/>
      <c r="J25" s="36"/>
      <c r="K25" s="36"/>
      <c r="L25" s="450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75" customHeight="1">
      <c r="A26" s="36"/>
      <c r="B26" s="432"/>
      <c r="C26" s="445" t="s">
        <v>692</v>
      </c>
      <c r="D26" s="446" t="s">
        <v>744</v>
      </c>
      <c r="E26" s="430" t="s">
        <v>660</v>
      </c>
      <c r="F26" s="431" t="s">
        <v>197</v>
      </c>
      <c r="G26" s="432" t="s">
        <v>198</v>
      </c>
      <c r="H26" s="432" t="s">
        <v>199</v>
      </c>
      <c r="I26" s="36"/>
      <c r="J26" s="36"/>
      <c r="K26" s="36"/>
      <c r="L26" s="450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75" customHeight="1">
      <c r="A27" s="36"/>
      <c r="B27" s="432"/>
      <c r="C27" s="445" t="s">
        <v>692</v>
      </c>
      <c r="D27" s="446" t="s">
        <v>745</v>
      </c>
      <c r="E27" s="430" t="s">
        <v>594</v>
      </c>
      <c r="F27" s="431" t="s">
        <v>358</v>
      </c>
      <c r="G27" s="432" t="s">
        <v>359</v>
      </c>
      <c r="H27" s="432" t="s">
        <v>360</v>
      </c>
      <c r="I27" s="36"/>
      <c r="J27" s="36"/>
      <c r="K27" s="36"/>
      <c r="L27" s="450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75" customHeight="1">
      <c r="A28" s="36"/>
      <c r="B28" s="432"/>
      <c r="C28" s="445" t="s">
        <v>692</v>
      </c>
      <c r="D28" s="446" t="s">
        <v>746</v>
      </c>
      <c r="E28" s="430" t="s">
        <v>595</v>
      </c>
      <c r="F28" s="431" t="s">
        <v>234</v>
      </c>
      <c r="G28" s="432" t="s">
        <v>235</v>
      </c>
      <c r="H28" s="432" t="s">
        <v>236</v>
      </c>
      <c r="I28" s="36"/>
      <c r="J28" s="36"/>
      <c r="K28" s="36"/>
      <c r="L28" s="450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75" customHeight="1">
      <c r="A29" s="36"/>
      <c r="B29" s="432"/>
      <c r="C29" s="445" t="s">
        <v>692</v>
      </c>
      <c r="D29" s="446" t="s">
        <v>747</v>
      </c>
      <c r="E29" s="430" t="s">
        <v>748</v>
      </c>
      <c r="F29" s="431" t="s">
        <v>197</v>
      </c>
      <c r="G29" s="432" t="s">
        <v>198</v>
      </c>
      <c r="H29" s="432" t="s">
        <v>199</v>
      </c>
      <c r="I29" s="36"/>
      <c r="J29" s="36"/>
      <c r="K29" s="36"/>
      <c r="L29" s="450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75" customHeight="1">
      <c r="A30" s="36"/>
      <c r="B30" s="432"/>
      <c r="C30" s="445" t="s">
        <v>695</v>
      </c>
      <c r="D30" s="446" t="s">
        <v>347</v>
      </c>
      <c r="E30" s="430" t="s">
        <v>603</v>
      </c>
      <c r="F30" s="431" t="s">
        <v>358</v>
      </c>
      <c r="G30" s="432" t="s">
        <v>359</v>
      </c>
      <c r="H30" s="432" t="s">
        <v>360</v>
      </c>
      <c r="I30" s="36"/>
      <c r="J30" s="36"/>
      <c r="K30" s="36"/>
      <c r="L30" s="450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75" customHeight="1">
      <c r="A31" s="36"/>
      <c r="B31" s="432"/>
      <c r="C31" s="445" t="s">
        <v>695</v>
      </c>
      <c r="D31" s="446" t="s">
        <v>749</v>
      </c>
      <c r="E31" s="430" t="s">
        <v>663</v>
      </c>
      <c r="F31" s="431" t="s">
        <v>197</v>
      </c>
      <c r="G31" s="432" t="s">
        <v>198</v>
      </c>
      <c r="H31" s="432" t="s">
        <v>199</v>
      </c>
      <c r="I31" s="36"/>
      <c r="J31" s="36"/>
      <c r="K31" s="36"/>
      <c r="L31" s="450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75" customHeight="1">
      <c r="A32" s="36"/>
      <c r="B32" s="432"/>
      <c r="C32" s="445" t="s">
        <v>695</v>
      </c>
      <c r="D32" s="446" t="s">
        <v>750</v>
      </c>
      <c r="E32" s="430" t="s">
        <v>605</v>
      </c>
      <c r="F32" s="431" t="s">
        <v>197</v>
      </c>
      <c r="G32" s="432" t="s">
        <v>198</v>
      </c>
      <c r="H32" s="432" t="s">
        <v>199</v>
      </c>
      <c r="I32" s="36"/>
      <c r="J32" s="36"/>
      <c r="K32" s="36"/>
      <c r="L32" s="450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75" customHeight="1">
      <c r="A33" s="36"/>
      <c r="B33" s="432"/>
      <c r="C33" s="445" t="s">
        <v>695</v>
      </c>
      <c r="D33" s="446" t="s">
        <v>751</v>
      </c>
      <c r="E33" s="430" t="s">
        <v>606</v>
      </c>
      <c r="F33" s="431" t="s">
        <v>197</v>
      </c>
      <c r="G33" s="432" t="s">
        <v>198</v>
      </c>
      <c r="H33" s="432" t="s">
        <v>199</v>
      </c>
      <c r="I33" s="36"/>
      <c r="J33" s="36"/>
      <c r="K33" s="36"/>
      <c r="L33" s="450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75" customHeight="1">
      <c r="A34" s="36"/>
      <c r="B34" s="432"/>
      <c r="C34" s="445" t="s">
        <v>695</v>
      </c>
      <c r="D34" s="446" t="s">
        <v>752</v>
      </c>
      <c r="E34" s="430" t="s">
        <v>609</v>
      </c>
      <c r="F34" s="431" t="s">
        <v>358</v>
      </c>
      <c r="G34" s="432" t="s">
        <v>359</v>
      </c>
      <c r="H34" s="432" t="s">
        <v>360</v>
      </c>
      <c r="I34" s="36"/>
      <c r="J34" s="36"/>
      <c r="K34" s="36"/>
      <c r="L34" s="450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75" customHeight="1">
      <c r="A35" s="36"/>
      <c r="B35" s="432"/>
      <c r="C35" s="445" t="s">
        <v>695</v>
      </c>
      <c r="D35" s="446" t="s">
        <v>753</v>
      </c>
      <c r="E35" s="430" t="s">
        <v>610</v>
      </c>
      <c r="F35" s="431" t="s">
        <v>234</v>
      </c>
      <c r="G35" s="432" t="s">
        <v>235</v>
      </c>
      <c r="H35" s="432" t="s">
        <v>236</v>
      </c>
      <c r="I35" s="36"/>
      <c r="J35" s="36"/>
      <c r="K35" s="36"/>
      <c r="L35" s="450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75" customHeight="1">
      <c r="A36" s="36"/>
      <c r="B36" s="432"/>
      <c r="C36" s="445" t="s">
        <v>699</v>
      </c>
      <c r="D36" s="446" t="s">
        <v>754</v>
      </c>
      <c r="E36" s="430" t="s">
        <v>614</v>
      </c>
      <c r="F36" s="431" t="s">
        <v>234</v>
      </c>
      <c r="G36" s="432" t="s">
        <v>235</v>
      </c>
      <c r="H36" s="432" t="s">
        <v>236</v>
      </c>
      <c r="I36" s="36"/>
      <c r="J36" s="36"/>
      <c r="K36" s="36"/>
      <c r="L36" s="450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75" customHeight="1">
      <c r="A37" s="36"/>
      <c r="B37" s="432"/>
      <c r="C37" s="445" t="s">
        <v>699</v>
      </c>
      <c r="D37" s="446" t="s">
        <v>518</v>
      </c>
      <c r="E37" s="430" t="s">
        <v>755</v>
      </c>
      <c r="F37" s="431" t="s">
        <v>197</v>
      </c>
      <c r="G37" s="432" t="s">
        <v>198</v>
      </c>
      <c r="H37" s="432" t="s">
        <v>199</v>
      </c>
      <c r="I37" s="36"/>
      <c r="J37" s="36"/>
      <c r="K37" s="36"/>
      <c r="L37" s="450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75" customHeight="1">
      <c r="A38" s="36"/>
      <c r="B38" s="432"/>
      <c r="C38" s="445" t="s">
        <v>699</v>
      </c>
      <c r="D38" s="446" t="s">
        <v>349</v>
      </c>
      <c r="E38" s="430" t="s">
        <v>619</v>
      </c>
      <c r="F38" s="431" t="s">
        <v>234</v>
      </c>
      <c r="G38" s="432" t="s">
        <v>235</v>
      </c>
      <c r="H38" s="432" t="s">
        <v>236</v>
      </c>
      <c r="I38" s="36"/>
      <c r="J38" s="36"/>
      <c r="K38" s="36"/>
      <c r="L38" s="450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75" customHeight="1">
      <c r="A39" s="36"/>
      <c r="B39" s="432"/>
      <c r="C39" s="445" t="s">
        <v>699</v>
      </c>
      <c r="D39" s="446" t="s">
        <v>756</v>
      </c>
      <c r="E39" s="430" t="s">
        <v>757</v>
      </c>
      <c r="F39" s="431" t="s">
        <v>197</v>
      </c>
      <c r="G39" s="432" t="s">
        <v>198</v>
      </c>
      <c r="H39" s="432" t="s">
        <v>199</v>
      </c>
      <c r="I39" s="36"/>
      <c r="J39" s="36"/>
      <c r="K39" s="36"/>
      <c r="L39" s="450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75" customHeight="1">
      <c r="A40" s="36"/>
      <c r="B40" s="432"/>
      <c r="C40" s="445" t="s">
        <v>699</v>
      </c>
      <c r="D40" s="446" t="s">
        <v>758</v>
      </c>
      <c r="E40" s="430" t="s">
        <v>625</v>
      </c>
      <c r="F40" s="431" t="s">
        <v>197</v>
      </c>
      <c r="G40" s="432" t="s">
        <v>198</v>
      </c>
      <c r="H40" s="432" t="s">
        <v>199</v>
      </c>
      <c r="I40" s="36"/>
      <c r="J40" s="36"/>
      <c r="K40" s="36"/>
      <c r="L40" s="450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75" customHeight="1">
      <c r="A41" s="36"/>
      <c r="B41" s="432"/>
      <c r="C41" s="445" t="s">
        <v>699</v>
      </c>
      <c r="D41" s="446" t="s">
        <v>759</v>
      </c>
      <c r="E41" s="430" t="s">
        <v>665</v>
      </c>
      <c r="F41" s="431" t="s">
        <v>197</v>
      </c>
      <c r="G41" s="432" t="s">
        <v>198</v>
      </c>
      <c r="H41" s="432" t="s">
        <v>199</v>
      </c>
      <c r="I41" s="36"/>
      <c r="J41" s="36"/>
      <c r="K41" s="36"/>
      <c r="L41" s="450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75" customHeight="1">
      <c r="A42" s="36"/>
      <c r="B42" s="432"/>
      <c r="C42" s="445" t="s">
        <v>699</v>
      </c>
      <c r="D42" s="446" t="s">
        <v>354</v>
      </c>
      <c r="E42" s="430" t="s">
        <v>629</v>
      </c>
      <c r="F42" s="431" t="s">
        <v>358</v>
      </c>
      <c r="G42" s="432" t="s">
        <v>359</v>
      </c>
      <c r="H42" s="432" t="s">
        <v>360</v>
      </c>
      <c r="I42" s="36"/>
      <c r="J42" s="36"/>
      <c r="K42" s="36"/>
      <c r="L42" s="450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75" customHeight="1">
      <c r="A43" s="36"/>
      <c r="B43" s="432"/>
      <c r="C43" s="445" t="s">
        <v>704</v>
      </c>
      <c r="D43" s="446" t="s">
        <v>683</v>
      </c>
      <c r="E43" s="430" t="s">
        <v>668</v>
      </c>
      <c r="F43" s="431" t="s">
        <v>234</v>
      </c>
      <c r="G43" s="432" t="s">
        <v>235</v>
      </c>
      <c r="H43" s="432" t="s">
        <v>236</v>
      </c>
      <c r="I43" s="36"/>
      <c r="J43" s="36"/>
      <c r="K43" s="36"/>
      <c r="L43" s="450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75" customHeight="1">
      <c r="A44" s="36"/>
      <c r="B44" s="432"/>
      <c r="C44" s="445" t="s">
        <v>704</v>
      </c>
      <c r="D44" s="446" t="s">
        <v>760</v>
      </c>
      <c r="E44" s="430" t="s">
        <v>761</v>
      </c>
      <c r="F44" s="431" t="s">
        <v>234</v>
      </c>
      <c r="G44" s="432" t="s">
        <v>235</v>
      </c>
      <c r="H44" s="432" t="s">
        <v>236</v>
      </c>
      <c r="I44" s="36"/>
      <c r="J44" s="36"/>
      <c r="K44" s="36"/>
      <c r="L44" s="450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75" customHeight="1">
      <c r="A45" s="36"/>
      <c r="B45" s="432"/>
      <c r="C45" s="445" t="s">
        <v>704</v>
      </c>
      <c r="D45" s="446" t="s">
        <v>351</v>
      </c>
      <c r="E45" s="430" t="s">
        <v>635</v>
      </c>
      <c r="F45" s="431" t="s">
        <v>197</v>
      </c>
      <c r="G45" s="432" t="s">
        <v>198</v>
      </c>
      <c r="H45" s="432" t="s">
        <v>199</v>
      </c>
      <c r="I45" s="36"/>
      <c r="J45" s="36"/>
      <c r="K45" s="36"/>
      <c r="L45" s="450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75" customHeight="1">
      <c r="A46" s="36"/>
      <c r="B46" s="432"/>
      <c r="C46" s="445" t="s">
        <v>708</v>
      </c>
      <c r="D46" s="446" t="s">
        <v>760</v>
      </c>
      <c r="E46" s="430" t="s">
        <v>636</v>
      </c>
      <c r="F46" s="431" t="s">
        <v>358</v>
      </c>
      <c r="G46" s="432" t="s">
        <v>359</v>
      </c>
      <c r="H46" s="432" t="s">
        <v>360</v>
      </c>
      <c r="I46" s="36"/>
      <c r="J46" s="36"/>
      <c r="K46" s="36"/>
      <c r="L46" s="450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75" customHeight="1">
      <c r="A47" s="36"/>
      <c r="B47" s="432"/>
      <c r="C47" s="432" t="s">
        <v>720</v>
      </c>
      <c r="D47" s="446" t="s">
        <v>762</v>
      </c>
      <c r="F47" s="431"/>
      <c r="G47" s="432"/>
      <c r="H47" s="432"/>
      <c r="I47" s="36"/>
      <c r="J47" s="36"/>
      <c r="K47" s="36"/>
      <c r="L47" s="450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75" customHeight="1">
      <c r="A48" s="36"/>
      <c r="B48" s="432"/>
      <c r="C48" s="432" t="s">
        <v>720</v>
      </c>
      <c r="D48" s="446" t="s">
        <v>763</v>
      </c>
      <c r="F48" s="431"/>
      <c r="G48" s="432"/>
      <c r="H48" s="432"/>
      <c r="I48" s="36"/>
      <c r="J48" s="36"/>
      <c r="K48" s="36"/>
      <c r="L48" s="450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75" customHeight="1">
      <c r="A49" s="36"/>
      <c r="B49" s="432"/>
      <c r="C49" s="432" t="s">
        <v>720</v>
      </c>
      <c r="D49" s="446" t="s">
        <v>764</v>
      </c>
      <c r="I49" s="36"/>
      <c r="J49" s="36"/>
      <c r="K49" s="36"/>
      <c r="L49" s="450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75" customHeight="1">
      <c r="A50" s="36"/>
      <c r="B50" s="432"/>
      <c r="C50" s="432" t="s">
        <v>712</v>
      </c>
      <c r="D50" s="446" t="s">
        <v>765</v>
      </c>
      <c r="F50" s="431"/>
      <c r="G50" s="434"/>
      <c r="H50" s="434"/>
      <c r="I50" s="36"/>
      <c r="J50" s="36"/>
      <c r="K50" s="36"/>
      <c r="L50" s="450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75" customHeight="1">
      <c r="A51" s="36"/>
      <c r="B51" s="432"/>
      <c r="C51" s="432" t="s">
        <v>712</v>
      </c>
      <c r="D51" s="446" t="s">
        <v>766</v>
      </c>
      <c r="F51" s="431"/>
      <c r="G51" s="434"/>
      <c r="H51" s="434"/>
      <c r="I51" s="36"/>
      <c r="J51" s="36"/>
      <c r="K51" s="36"/>
      <c r="L51" s="450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75" customHeight="1">
      <c r="A52" s="36"/>
      <c r="B52" s="432"/>
      <c r="C52" s="432" t="s">
        <v>712</v>
      </c>
      <c r="D52" s="446" t="s">
        <v>767</v>
      </c>
      <c r="F52" s="431"/>
      <c r="G52" s="434"/>
      <c r="H52" s="434"/>
      <c r="I52" s="36"/>
      <c r="J52" s="36"/>
      <c r="K52" s="36"/>
      <c r="L52" s="450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75" customHeight="1">
      <c r="A53" s="36"/>
      <c r="B53" s="432"/>
      <c r="C53" s="432" t="s">
        <v>712</v>
      </c>
      <c r="D53" s="446" t="s">
        <v>768</v>
      </c>
      <c r="F53" s="431"/>
      <c r="G53" s="432"/>
      <c r="H53" s="432"/>
      <c r="I53" s="36"/>
      <c r="J53" s="36"/>
      <c r="K53" s="36"/>
      <c r="L53" s="450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75" customHeight="1">
      <c r="A54" s="36"/>
      <c r="B54" s="432"/>
      <c r="C54" s="432" t="s">
        <v>712</v>
      </c>
      <c r="D54" s="446" t="s">
        <v>769</v>
      </c>
      <c r="F54" s="431"/>
      <c r="G54" s="432"/>
      <c r="H54" s="432"/>
      <c r="I54" s="36"/>
      <c r="J54" s="36"/>
      <c r="K54" s="36"/>
      <c r="L54" s="450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75" customHeight="1">
      <c r="A55" s="36"/>
      <c r="B55" s="432"/>
      <c r="C55" s="432" t="s">
        <v>712</v>
      </c>
      <c r="D55" s="446" t="s">
        <v>770</v>
      </c>
      <c r="F55" s="431"/>
      <c r="G55" s="432"/>
      <c r="H55" s="432"/>
      <c r="I55" s="36"/>
      <c r="J55" s="36"/>
      <c r="K55" s="36"/>
      <c r="L55" s="450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75" customHeight="1">
      <c r="A56" s="36"/>
      <c r="B56" s="432"/>
      <c r="C56" s="432" t="s">
        <v>712</v>
      </c>
      <c r="D56" s="446" t="s">
        <v>771</v>
      </c>
      <c r="F56" s="431"/>
      <c r="G56" s="432"/>
      <c r="H56" s="432"/>
      <c r="I56" s="36"/>
      <c r="J56" s="36"/>
      <c r="K56" s="36"/>
      <c r="L56" s="450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75" customHeight="1">
      <c r="A57" s="36"/>
      <c r="B57" s="432"/>
      <c r="C57" s="432" t="s">
        <v>712</v>
      </c>
      <c r="D57" s="446" t="s">
        <v>772</v>
      </c>
      <c r="F57" s="431"/>
      <c r="G57" s="434"/>
      <c r="H57" s="434"/>
      <c r="I57" s="36"/>
      <c r="J57" s="36"/>
      <c r="K57" s="36"/>
      <c r="L57" s="450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75" customHeight="1">
      <c r="A58" s="36"/>
      <c r="B58" s="432"/>
      <c r="C58" s="432" t="s">
        <v>712</v>
      </c>
      <c r="D58" s="446" t="s">
        <v>773</v>
      </c>
      <c r="F58" s="431"/>
      <c r="G58" s="432"/>
      <c r="H58" s="432"/>
      <c r="I58" s="36"/>
      <c r="J58" s="36"/>
      <c r="K58" s="36"/>
      <c r="L58" s="450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75" customHeight="1">
      <c r="A59" s="36"/>
      <c r="B59" s="432"/>
      <c r="C59" s="432" t="s">
        <v>712</v>
      </c>
      <c r="D59" s="446" t="s">
        <v>774</v>
      </c>
      <c r="F59" s="431"/>
      <c r="G59" s="432"/>
      <c r="H59" s="432"/>
      <c r="I59" s="36"/>
      <c r="J59" s="36"/>
      <c r="K59" s="36"/>
      <c r="L59" s="450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75" customHeight="1">
      <c r="A60" s="36"/>
      <c r="B60" s="432"/>
      <c r="C60" s="432" t="s">
        <v>712</v>
      </c>
      <c r="D60" s="446" t="s">
        <v>775</v>
      </c>
      <c r="F60" s="431"/>
      <c r="G60" s="432"/>
      <c r="H60" s="432"/>
      <c r="I60" s="36"/>
      <c r="J60" s="36"/>
      <c r="K60" s="36"/>
      <c r="L60" s="450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75" customHeight="1">
      <c r="A61" s="36"/>
      <c r="B61" s="432"/>
      <c r="C61" s="432" t="s">
        <v>712</v>
      </c>
      <c r="D61" s="446" t="s">
        <v>776</v>
      </c>
      <c r="F61" s="431"/>
      <c r="G61" s="432"/>
      <c r="H61" s="432"/>
      <c r="I61" s="36"/>
      <c r="J61" s="36"/>
      <c r="K61" s="36"/>
      <c r="L61" s="450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75" customHeight="1">
      <c r="A62" s="36"/>
      <c r="B62" s="432"/>
      <c r="C62" s="432" t="s">
        <v>712</v>
      </c>
      <c r="D62" s="446" t="s">
        <v>777</v>
      </c>
      <c r="F62" s="431"/>
      <c r="G62" s="432"/>
      <c r="H62" s="432"/>
      <c r="I62" s="36"/>
      <c r="J62" s="36"/>
      <c r="K62" s="36"/>
      <c r="L62" s="450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75" customHeight="1">
      <c r="A63" s="36"/>
      <c r="B63" s="432"/>
      <c r="C63" s="432" t="s">
        <v>712</v>
      </c>
      <c r="D63" s="446" t="s">
        <v>778</v>
      </c>
      <c r="F63" s="431"/>
      <c r="G63" s="432"/>
      <c r="H63" s="432"/>
      <c r="I63" s="36"/>
      <c r="J63" s="36"/>
      <c r="K63" s="36"/>
      <c r="L63" s="450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75" customHeight="1">
      <c r="A64" s="36"/>
      <c r="B64" s="432"/>
      <c r="C64" s="432" t="s">
        <v>712</v>
      </c>
      <c r="D64" s="446" t="s">
        <v>779</v>
      </c>
      <c r="F64" s="431"/>
      <c r="G64" s="432"/>
      <c r="H64" s="432"/>
      <c r="I64" s="36"/>
      <c r="J64" s="36"/>
      <c r="K64" s="36"/>
      <c r="L64" s="450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75" customHeight="1">
      <c r="A65" s="36"/>
      <c r="B65" s="432"/>
      <c r="C65" s="432" t="s">
        <v>712</v>
      </c>
      <c r="D65" s="446" t="s">
        <v>780</v>
      </c>
      <c r="F65" s="431"/>
      <c r="G65" s="432"/>
      <c r="H65" s="432"/>
      <c r="I65" s="36"/>
      <c r="J65" s="36"/>
      <c r="K65" s="36"/>
      <c r="L65" s="450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75" customHeight="1">
      <c r="A66" s="36"/>
      <c r="B66" s="432"/>
      <c r="C66" s="432" t="s">
        <v>712</v>
      </c>
      <c r="D66" s="446" t="s">
        <v>781</v>
      </c>
      <c r="F66" s="431"/>
      <c r="G66" s="432"/>
      <c r="H66" s="432"/>
      <c r="I66" s="36"/>
      <c r="J66" s="36"/>
      <c r="K66" s="36"/>
      <c r="L66" s="450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75" customHeight="1">
      <c r="A67" s="36"/>
      <c r="B67" s="432"/>
      <c r="C67" s="432" t="s">
        <v>712</v>
      </c>
      <c r="D67" s="446" t="s">
        <v>782</v>
      </c>
      <c r="F67" s="431"/>
      <c r="G67" s="432"/>
      <c r="H67" s="432"/>
      <c r="I67" s="36"/>
      <c r="J67" s="36"/>
      <c r="K67" s="36"/>
      <c r="L67" s="450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75" customHeight="1">
      <c r="A68" s="36"/>
      <c r="B68" s="432"/>
      <c r="C68" s="432" t="s">
        <v>712</v>
      </c>
      <c r="D68" s="446" t="s">
        <v>783</v>
      </c>
      <c r="I68" s="36"/>
      <c r="J68" s="36"/>
      <c r="K68" s="36"/>
      <c r="L68" s="450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75" customHeight="1">
      <c r="A69" s="36"/>
      <c r="B69" s="432"/>
      <c r="C69" s="432" t="s">
        <v>712</v>
      </c>
      <c r="D69" s="446" t="s">
        <v>784</v>
      </c>
      <c r="F69" s="431"/>
      <c r="G69" s="432"/>
      <c r="H69" s="432"/>
      <c r="I69" s="36"/>
      <c r="J69" s="36"/>
      <c r="K69" s="36"/>
      <c r="L69" s="450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75" customHeight="1">
      <c r="A70" s="36"/>
      <c r="B70" s="432"/>
      <c r="C70" s="432" t="s">
        <v>712</v>
      </c>
      <c r="D70" s="446" t="s">
        <v>785</v>
      </c>
      <c r="F70" s="431"/>
      <c r="G70" s="432"/>
      <c r="H70" s="432"/>
      <c r="I70" s="36"/>
      <c r="J70" s="36"/>
      <c r="K70" s="36"/>
      <c r="L70" s="450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75" customHeight="1">
      <c r="A71" s="36"/>
      <c r="B71" s="432"/>
      <c r="C71" s="432" t="s">
        <v>712</v>
      </c>
      <c r="D71" s="446" t="s">
        <v>786</v>
      </c>
      <c r="F71" s="431"/>
      <c r="G71" s="432"/>
      <c r="H71" s="432"/>
      <c r="I71" s="36"/>
      <c r="J71" s="36"/>
      <c r="K71" s="36"/>
      <c r="L71" s="450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75" customHeight="1">
      <c r="A72" s="36"/>
      <c r="B72" s="432"/>
      <c r="C72" s="432" t="s">
        <v>712</v>
      </c>
      <c r="D72" s="446" t="s">
        <v>749</v>
      </c>
      <c r="F72" s="431"/>
      <c r="G72" s="432"/>
      <c r="H72" s="432"/>
      <c r="I72" s="36"/>
      <c r="J72" s="36"/>
      <c r="K72" s="36"/>
      <c r="L72" s="450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75" customHeight="1">
      <c r="A73" s="36"/>
      <c r="B73" s="432"/>
      <c r="C73" s="432" t="s">
        <v>712</v>
      </c>
      <c r="D73" s="446" t="s">
        <v>787</v>
      </c>
      <c r="F73" s="431"/>
      <c r="G73" s="432"/>
      <c r="H73" s="432"/>
      <c r="I73" s="36"/>
      <c r="J73" s="36"/>
      <c r="K73" s="36"/>
      <c r="L73" s="450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75" customHeight="1">
      <c r="A74" s="36"/>
      <c r="B74" s="432"/>
      <c r="C74" s="432" t="s">
        <v>712</v>
      </c>
      <c r="D74" s="446" t="s">
        <v>788</v>
      </c>
      <c r="F74" s="431"/>
      <c r="G74" s="432"/>
      <c r="H74" s="432"/>
      <c r="I74" s="36"/>
      <c r="J74" s="36"/>
      <c r="K74" s="36"/>
      <c r="L74" s="450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75" customHeight="1">
      <c r="A75" s="36"/>
      <c r="B75" s="432"/>
      <c r="C75" s="432" t="s">
        <v>712</v>
      </c>
      <c r="D75" s="446" t="s">
        <v>750</v>
      </c>
      <c r="F75" s="431"/>
      <c r="G75" s="432"/>
      <c r="H75" s="432"/>
      <c r="I75" s="36"/>
      <c r="J75" s="36"/>
      <c r="K75" s="36"/>
      <c r="L75" s="450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75" customHeight="1">
      <c r="A76" s="36"/>
      <c r="B76" s="432"/>
      <c r="C76" s="432" t="s">
        <v>712</v>
      </c>
      <c r="D76" s="446" t="s">
        <v>789</v>
      </c>
      <c r="F76" s="431"/>
      <c r="G76" s="432"/>
      <c r="H76" s="432"/>
      <c r="I76" s="36"/>
      <c r="J76" s="36"/>
      <c r="K76" s="36"/>
      <c r="L76" s="450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75" customHeight="1">
      <c r="A77" s="36"/>
      <c r="B77" s="432"/>
      <c r="C77" s="432" t="s">
        <v>712</v>
      </c>
      <c r="D77" s="446" t="s">
        <v>790</v>
      </c>
      <c r="F77" s="431"/>
      <c r="G77" s="432"/>
      <c r="H77" s="432"/>
      <c r="I77" s="36"/>
      <c r="J77" s="36"/>
      <c r="K77" s="36"/>
      <c r="L77" s="450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75" customHeight="1">
      <c r="A78" s="36"/>
      <c r="B78" s="432"/>
      <c r="C78" s="432" t="s">
        <v>712</v>
      </c>
      <c r="D78" s="446" t="s">
        <v>696</v>
      </c>
      <c r="F78" s="431"/>
      <c r="G78" s="432"/>
      <c r="H78" s="432"/>
      <c r="I78" s="36"/>
      <c r="J78" s="36"/>
      <c r="K78" s="36"/>
      <c r="L78" s="450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75" customHeight="1">
      <c r="A79" s="36"/>
      <c r="B79" s="432"/>
      <c r="C79" s="432" t="s">
        <v>712</v>
      </c>
      <c r="D79" s="446" t="s">
        <v>791</v>
      </c>
      <c r="F79" s="431"/>
      <c r="G79" s="432"/>
      <c r="H79" s="432"/>
      <c r="I79" s="36"/>
      <c r="J79" s="36"/>
      <c r="K79" s="36"/>
      <c r="L79" s="450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75" customHeight="1">
      <c r="A80" s="36"/>
      <c r="B80" s="432"/>
      <c r="C80" s="432" t="s">
        <v>712</v>
      </c>
      <c r="D80" s="446" t="s">
        <v>709</v>
      </c>
      <c r="F80" s="431"/>
      <c r="G80" s="432"/>
      <c r="H80" s="432"/>
      <c r="I80" s="36"/>
      <c r="J80" s="36"/>
      <c r="K80" s="36"/>
      <c r="L80" s="450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75" customHeight="1">
      <c r="A81" s="36"/>
      <c r="B81" s="432"/>
      <c r="C81" s="432" t="s">
        <v>712</v>
      </c>
      <c r="D81" s="446" t="s">
        <v>792</v>
      </c>
      <c r="F81" s="431"/>
      <c r="G81" s="432"/>
      <c r="H81" s="432"/>
      <c r="I81" s="36"/>
      <c r="J81" s="36"/>
      <c r="K81" s="36"/>
      <c r="L81" s="450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75" customHeight="1">
      <c r="A82" s="36"/>
      <c r="B82" s="432"/>
      <c r="C82" s="432" t="s">
        <v>712</v>
      </c>
      <c r="D82" s="446" t="s">
        <v>793</v>
      </c>
      <c r="F82" s="431"/>
      <c r="G82" s="432"/>
      <c r="H82" s="432"/>
      <c r="I82" s="36"/>
      <c r="J82" s="36"/>
      <c r="K82" s="36"/>
      <c r="L82" s="450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75" customHeight="1">
      <c r="A83" s="36"/>
      <c r="B83" s="432"/>
      <c r="C83" s="432" t="s">
        <v>712</v>
      </c>
      <c r="D83" s="446" t="s">
        <v>794</v>
      </c>
      <c r="F83" s="431"/>
      <c r="G83" s="432"/>
      <c r="H83" s="432"/>
      <c r="I83" s="36"/>
      <c r="J83" s="36"/>
      <c r="K83" s="36"/>
      <c r="L83" s="450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75" customHeight="1">
      <c r="A84" s="36"/>
      <c r="B84" s="432"/>
      <c r="C84" s="432" t="s">
        <v>712</v>
      </c>
      <c r="D84" s="446" t="s">
        <v>795</v>
      </c>
      <c r="F84" s="431"/>
      <c r="G84" s="432"/>
      <c r="H84" s="432"/>
      <c r="I84" s="36"/>
      <c r="J84" s="36"/>
      <c r="K84" s="36"/>
      <c r="L84" s="450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75" customHeight="1">
      <c r="A85" s="36"/>
      <c r="B85" s="432"/>
      <c r="C85" s="432" t="s">
        <v>712</v>
      </c>
      <c r="D85" s="446" t="s">
        <v>796</v>
      </c>
      <c r="F85" s="431"/>
      <c r="G85" s="432"/>
      <c r="H85" s="432"/>
      <c r="I85" s="36"/>
      <c r="J85" s="36"/>
      <c r="K85" s="36"/>
      <c r="L85" s="450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75" customHeight="1">
      <c r="A86" s="36"/>
      <c r="B86" s="432"/>
      <c r="C86" s="432" t="s">
        <v>712</v>
      </c>
      <c r="D86" s="446" t="s">
        <v>797</v>
      </c>
      <c r="F86" s="431"/>
      <c r="G86" s="432"/>
      <c r="H86" s="432"/>
      <c r="I86" s="36"/>
      <c r="J86" s="36"/>
      <c r="K86" s="36"/>
      <c r="L86" s="450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75" customHeight="1">
      <c r="A87" s="36"/>
      <c r="B87" s="432"/>
      <c r="C87" s="432" t="s">
        <v>712</v>
      </c>
      <c r="D87" s="446" t="s">
        <v>798</v>
      </c>
      <c r="F87" s="431"/>
      <c r="G87" s="432"/>
      <c r="H87" s="432"/>
      <c r="I87" s="36"/>
      <c r="J87" s="36"/>
      <c r="K87" s="36"/>
      <c r="L87" s="450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75" customHeight="1">
      <c r="A88" s="36"/>
      <c r="B88" s="432"/>
      <c r="C88" s="432" t="s">
        <v>712</v>
      </c>
      <c r="D88" s="446" t="s">
        <v>799</v>
      </c>
      <c r="F88" s="431"/>
      <c r="G88" s="432"/>
      <c r="H88" s="432"/>
      <c r="I88" s="36"/>
      <c r="J88" s="36"/>
      <c r="K88" s="36"/>
      <c r="L88" s="450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75" customHeight="1">
      <c r="A89" s="36"/>
      <c r="B89" s="432"/>
      <c r="C89" s="432" t="s">
        <v>712</v>
      </c>
      <c r="D89" s="446" t="s">
        <v>800</v>
      </c>
      <c r="F89" s="431"/>
      <c r="G89" s="432"/>
      <c r="H89" s="432"/>
      <c r="I89" s="36"/>
      <c r="J89" s="36"/>
      <c r="K89" s="36"/>
      <c r="L89" s="450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75" customHeight="1">
      <c r="A90" s="36"/>
      <c r="B90" s="432"/>
      <c r="C90" s="432" t="s">
        <v>712</v>
      </c>
      <c r="D90" s="446" t="s">
        <v>752</v>
      </c>
      <c r="F90" s="431"/>
      <c r="G90" s="432"/>
      <c r="H90" s="432"/>
      <c r="I90" s="36"/>
      <c r="J90" s="36"/>
      <c r="K90" s="36"/>
      <c r="L90" s="450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75" customHeight="1">
      <c r="A91" s="36"/>
      <c r="B91" s="432"/>
      <c r="C91" s="432" t="s">
        <v>712</v>
      </c>
      <c r="D91" s="446" t="s">
        <v>801</v>
      </c>
      <c r="F91" s="431"/>
      <c r="G91" s="432"/>
      <c r="H91" s="432"/>
      <c r="I91" s="36"/>
      <c r="J91" s="36"/>
      <c r="K91" s="36"/>
      <c r="L91" s="450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75" customHeight="1">
      <c r="A92" s="36"/>
      <c r="B92" s="432"/>
      <c r="C92" s="432" t="s">
        <v>712</v>
      </c>
      <c r="D92" s="446" t="s">
        <v>802</v>
      </c>
      <c r="F92" s="431"/>
      <c r="G92" s="432"/>
      <c r="H92" s="432"/>
      <c r="I92" s="36"/>
      <c r="J92" s="36"/>
      <c r="K92" s="36"/>
      <c r="L92" s="450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75" customHeight="1">
      <c r="A93" s="36"/>
      <c r="B93" s="432"/>
      <c r="C93" s="432" t="s">
        <v>712</v>
      </c>
      <c r="D93" s="446" t="s">
        <v>803</v>
      </c>
      <c r="F93" s="431"/>
      <c r="G93" s="434"/>
      <c r="H93" s="434"/>
      <c r="I93" s="36"/>
      <c r="J93" s="36"/>
      <c r="K93" s="36"/>
      <c r="L93" s="450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75" customHeight="1">
      <c r="A94" s="36"/>
      <c r="B94" s="432"/>
      <c r="C94" s="432" t="s">
        <v>712</v>
      </c>
      <c r="D94" s="446" t="s">
        <v>804</v>
      </c>
      <c r="F94" s="431"/>
      <c r="G94" s="432"/>
      <c r="H94" s="432"/>
      <c r="I94" s="36"/>
      <c r="J94" s="36"/>
      <c r="K94" s="36"/>
      <c r="L94" s="450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75" customHeight="1">
      <c r="A95" s="36"/>
      <c r="B95" s="432"/>
      <c r="C95" s="432" t="s">
        <v>712</v>
      </c>
      <c r="D95" s="446" t="s">
        <v>805</v>
      </c>
      <c r="F95" s="431"/>
      <c r="G95" s="432"/>
      <c r="H95" s="432"/>
      <c r="I95" s="36"/>
      <c r="J95" s="36"/>
      <c r="K95" s="36"/>
      <c r="L95" s="450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75" customHeight="1">
      <c r="A96" s="36"/>
      <c r="B96" s="432"/>
      <c r="C96" s="432" t="s">
        <v>712</v>
      </c>
      <c r="D96" s="446" t="s">
        <v>806</v>
      </c>
      <c r="F96" s="431"/>
      <c r="G96" s="432"/>
      <c r="H96" s="432"/>
      <c r="I96" s="36"/>
      <c r="J96" s="36"/>
      <c r="K96" s="36"/>
      <c r="L96" s="450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75" customHeight="1">
      <c r="A97" s="36"/>
      <c r="B97" s="432"/>
      <c r="C97" s="432" t="s">
        <v>712</v>
      </c>
      <c r="D97" s="446" t="s">
        <v>807</v>
      </c>
      <c r="F97" s="431"/>
      <c r="G97" s="432"/>
      <c r="H97" s="432"/>
      <c r="I97" s="36"/>
      <c r="J97" s="36"/>
      <c r="K97" s="36"/>
      <c r="L97" s="450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75" customHeight="1">
      <c r="A98" s="36"/>
      <c r="B98" s="432"/>
      <c r="C98" s="432" t="s">
        <v>808</v>
      </c>
      <c r="D98" s="446" t="s">
        <v>809</v>
      </c>
      <c r="F98" s="431"/>
      <c r="G98" s="432"/>
      <c r="H98" s="432"/>
      <c r="I98" s="36"/>
      <c r="J98" s="36"/>
      <c r="K98" s="36"/>
      <c r="L98" s="450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75" customHeight="1">
      <c r="A99" s="36"/>
      <c r="B99" s="432"/>
      <c r="C99" s="432" t="s">
        <v>716</v>
      </c>
      <c r="D99" s="446" t="s">
        <v>810</v>
      </c>
      <c r="F99" s="431"/>
      <c r="G99" s="432"/>
      <c r="H99" s="432"/>
      <c r="I99" s="36"/>
      <c r="J99" s="36"/>
      <c r="K99" s="36"/>
      <c r="L99" s="450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75" customHeight="1">
      <c r="A100" s="36"/>
      <c r="B100" s="432"/>
      <c r="C100" s="432" t="s">
        <v>716</v>
      </c>
      <c r="D100" s="446" t="s">
        <v>811</v>
      </c>
      <c r="F100" s="431"/>
      <c r="G100" s="432"/>
      <c r="H100" s="432"/>
      <c r="I100" s="36"/>
      <c r="J100" s="36"/>
      <c r="K100" s="36"/>
      <c r="L100" s="450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75" customHeight="1">
      <c r="A101" s="36"/>
      <c r="B101" s="432"/>
      <c r="C101" s="432" t="s">
        <v>716</v>
      </c>
      <c r="D101" s="446" t="s">
        <v>812</v>
      </c>
      <c r="F101" s="431"/>
      <c r="G101" s="432"/>
      <c r="H101" s="432"/>
      <c r="I101" s="36"/>
      <c r="J101" s="36"/>
      <c r="K101" s="36"/>
      <c r="L101" s="450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75" customHeight="1">
      <c r="A102" s="36"/>
      <c r="B102" s="432"/>
      <c r="C102" s="432" t="s">
        <v>716</v>
      </c>
      <c r="D102" s="446" t="s">
        <v>813</v>
      </c>
      <c r="F102" s="431"/>
      <c r="G102" s="432"/>
      <c r="H102" s="432"/>
      <c r="I102" s="36"/>
      <c r="J102" s="36"/>
      <c r="K102" s="36"/>
      <c r="L102" s="450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75" customHeight="1">
      <c r="A103" s="36"/>
      <c r="B103" s="432"/>
      <c r="C103" s="432" t="s">
        <v>716</v>
      </c>
      <c r="D103" s="446" t="s">
        <v>814</v>
      </c>
      <c r="F103" s="431"/>
      <c r="G103" s="432"/>
      <c r="H103" s="432"/>
      <c r="I103" s="36"/>
      <c r="J103" s="36"/>
      <c r="K103" s="36"/>
      <c r="L103" s="450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75" customHeight="1">
      <c r="A104" s="36"/>
      <c r="B104" s="432"/>
      <c r="C104" s="432" t="s">
        <v>716</v>
      </c>
      <c r="D104" s="446" t="s">
        <v>815</v>
      </c>
      <c r="F104" s="431"/>
      <c r="G104" s="432"/>
      <c r="H104" s="432"/>
      <c r="I104" s="36"/>
      <c r="J104" s="36"/>
      <c r="K104" s="36"/>
      <c r="L104" s="450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75" customHeight="1">
      <c r="A105" s="36"/>
      <c r="B105" s="432"/>
      <c r="C105" s="432" t="s">
        <v>716</v>
      </c>
      <c r="D105" s="446" t="s">
        <v>816</v>
      </c>
      <c r="F105" s="431"/>
      <c r="G105" s="432"/>
      <c r="H105" s="432"/>
      <c r="I105" s="36"/>
      <c r="J105" s="36"/>
      <c r="K105" s="36"/>
      <c r="L105" s="450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75" customHeight="1">
      <c r="A106" s="36"/>
      <c r="B106" s="432"/>
      <c r="C106" s="432" t="s">
        <v>716</v>
      </c>
      <c r="D106" s="446" t="s">
        <v>817</v>
      </c>
      <c r="F106" s="431"/>
      <c r="G106" s="432"/>
      <c r="H106" s="432"/>
      <c r="I106" s="36"/>
      <c r="J106" s="36"/>
      <c r="K106" s="36"/>
      <c r="L106" s="450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75" customHeight="1">
      <c r="A107" s="36"/>
      <c r="B107" s="432"/>
      <c r="C107" s="432" t="s">
        <v>716</v>
      </c>
      <c r="D107" s="446" t="s">
        <v>818</v>
      </c>
      <c r="F107" s="431"/>
      <c r="G107" s="432"/>
      <c r="H107" s="432"/>
      <c r="I107" s="36"/>
      <c r="J107" s="36"/>
      <c r="K107" s="36"/>
      <c r="L107" s="450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75" customHeight="1">
      <c r="A108" s="36"/>
      <c r="B108" s="432"/>
      <c r="C108" s="432" t="s">
        <v>716</v>
      </c>
      <c r="D108" s="446" t="s">
        <v>819</v>
      </c>
      <c r="F108" s="431"/>
      <c r="G108" s="432"/>
      <c r="H108" s="432"/>
      <c r="I108" s="36"/>
      <c r="J108" s="36"/>
      <c r="K108" s="36"/>
      <c r="L108" s="450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75" customHeight="1">
      <c r="A109" s="36"/>
      <c r="B109" s="432"/>
      <c r="C109" s="432" t="s">
        <v>716</v>
      </c>
      <c r="D109" s="446" t="s">
        <v>820</v>
      </c>
      <c r="F109" s="431"/>
      <c r="G109" s="432"/>
      <c r="H109" s="432"/>
      <c r="I109" s="36"/>
      <c r="J109" s="36"/>
      <c r="K109" s="36"/>
      <c r="L109" s="450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75" customHeight="1">
      <c r="A110" s="36"/>
      <c r="B110" s="432"/>
      <c r="C110" s="432" t="s">
        <v>716</v>
      </c>
      <c r="D110" s="446" t="s">
        <v>821</v>
      </c>
      <c r="F110" s="431"/>
      <c r="G110" s="432"/>
      <c r="H110" s="432"/>
      <c r="I110" s="36"/>
      <c r="J110" s="36"/>
      <c r="K110" s="36"/>
      <c r="L110" s="450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75" customHeight="1">
      <c r="A111" s="36"/>
      <c r="B111" s="432"/>
      <c r="C111" s="432" t="s">
        <v>716</v>
      </c>
      <c r="D111" s="446" t="s">
        <v>822</v>
      </c>
      <c r="F111" s="431"/>
      <c r="G111" s="432"/>
      <c r="H111" s="432"/>
      <c r="I111" s="36"/>
      <c r="J111" s="36"/>
      <c r="K111" s="36"/>
      <c r="L111" s="450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75" customHeight="1">
      <c r="A112" s="36"/>
      <c r="B112" s="432"/>
      <c r="C112" s="432" t="s">
        <v>716</v>
      </c>
      <c r="D112" s="446" t="s">
        <v>823</v>
      </c>
      <c r="F112" s="431"/>
      <c r="G112" s="432"/>
      <c r="H112" s="432"/>
      <c r="I112" s="36"/>
      <c r="J112" s="36"/>
      <c r="K112" s="36"/>
      <c r="L112" s="450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75" customHeight="1">
      <c r="A113" s="36"/>
      <c r="B113" s="432"/>
      <c r="C113" s="432" t="s">
        <v>716</v>
      </c>
      <c r="D113" s="446" t="s">
        <v>824</v>
      </c>
      <c r="F113" s="431"/>
      <c r="G113" s="432"/>
      <c r="H113" s="432"/>
      <c r="I113" s="36"/>
      <c r="J113" s="36"/>
      <c r="K113" s="36"/>
      <c r="L113" s="450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75" customHeight="1">
      <c r="A114" s="36"/>
      <c r="B114" s="432"/>
      <c r="C114" s="432" t="s">
        <v>716</v>
      </c>
      <c r="D114" s="446" t="s">
        <v>825</v>
      </c>
      <c r="F114" s="431"/>
      <c r="G114" s="432"/>
      <c r="H114" s="432"/>
      <c r="I114" s="36"/>
      <c r="J114" s="36"/>
      <c r="K114" s="36"/>
      <c r="L114" s="450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75" customHeight="1">
      <c r="A115" s="36"/>
      <c r="B115" s="432"/>
      <c r="C115" s="432" t="s">
        <v>716</v>
      </c>
      <c r="D115" s="446" t="s">
        <v>826</v>
      </c>
      <c r="F115" s="431"/>
      <c r="G115" s="432"/>
      <c r="H115" s="432"/>
      <c r="I115" s="36"/>
      <c r="J115" s="36"/>
      <c r="K115" s="36"/>
      <c r="L115" s="450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75" customHeight="1">
      <c r="A116" s="36"/>
      <c r="B116" s="432"/>
      <c r="C116" s="432" t="s">
        <v>716</v>
      </c>
      <c r="D116" s="446" t="s">
        <v>827</v>
      </c>
      <c r="F116" s="431"/>
      <c r="G116" s="432"/>
      <c r="H116" s="432"/>
      <c r="I116" s="36"/>
      <c r="J116" s="36"/>
      <c r="K116" s="36"/>
      <c r="L116" s="450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75" customHeight="1">
      <c r="A117" s="36"/>
      <c r="B117" s="432"/>
      <c r="C117" s="432" t="s">
        <v>716</v>
      </c>
      <c r="D117" s="446" t="s">
        <v>781</v>
      </c>
      <c r="F117" s="431"/>
      <c r="G117" s="432"/>
      <c r="H117" s="432"/>
      <c r="I117" s="36"/>
      <c r="J117" s="36"/>
      <c r="K117" s="36"/>
      <c r="L117" s="450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75" customHeight="1">
      <c r="A118" s="36"/>
      <c r="B118" s="432"/>
      <c r="C118" s="432" t="s">
        <v>716</v>
      </c>
      <c r="D118" s="446" t="s">
        <v>828</v>
      </c>
      <c r="F118" s="431"/>
      <c r="G118" s="432"/>
      <c r="H118" s="432"/>
      <c r="I118" s="36"/>
      <c r="J118" s="36"/>
      <c r="K118" s="36"/>
      <c r="L118" s="450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75" customHeight="1">
      <c r="A119" s="36"/>
      <c r="B119" s="432"/>
      <c r="C119" s="432" t="s">
        <v>716</v>
      </c>
      <c r="D119" s="446" t="s">
        <v>829</v>
      </c>
      <c r="F119" s="431"/>
      <c r="G119" s="432"/>
      <c r="H119" s="432"/>
      <c r="I119" s="36"/>
      <c r="J119" s="36"/>
      <c r="K119" s="36"/>
      <c r="L119" s="450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75" customHeight="1">
      <c r="A120" s="36"/>
      <c r="B120" s="432"/>
      <c r="C120" s="432" t="s">
        <v>716</v>
      </c>
      <c r="D120" s="446" t="s">
        <v>830</v>
      </c>
      <c r="F120" s="431"/>
      <c r="G120" s="432"/>
      <c r="H120" s="432"/>
      <c r="I120" s="36"/>
      <c r="J120" s="36"/>
      <c r="K120" s="36"/>
      <c r="L120" s="450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75" customHeight="1">
      <c r="A121" s="36"/>
      <c r="B121" s="432"/>
      <c r="C121" s="432" t="s">
        <v>716</v>
      </c>
      <c r="D121" s="446" t="s">
        <v>749</v>
      </c>
      <c r="F121" s="431"/>
      <c r="G121" s="432"/>
      <c r="H121" s="432"/>
      <c r="I121" s="36"/>
      <c r="J121" s="36"/>
      <c r="K121" s="36"/>
      <c r="L121" s="450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75" customHeight="1">
      <c r="A122" s="36"/>
      <c r="B122" s="432"/>
      <c r="C122" s="432" t="s">
        <v>716</v>
      </c>
      <c r="D122" s="446" t="s">
        <v>831</v>
      </c>
      <c r="F122" s="431"/>
      <c r="G122" s="432"/>
      <c r="H122" s="432"/>
      <c r="I122" s="36"/>
      <c r="J122" s="36"/>
      <c r="K122" s="36"/>
      <c r="L122" s="450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75" customHeight="1">
      <c r="A123" s="36"/>
      <c r="B123" s="432"/>
      <c r="C123" s="432" t="s">
        <v>716</v>
      </c>
      <c r="D123" s="446" t="s">
        <v>750</v>
      </c>
      <c r="F123" s="431"/>
      <c r="G123" s="432"/>
      <c r="H123" s="432"/>
      <c r="I123" s="36"/>
      <c r="J123" s="36"/>
      <c r="K123" s="36"/>
      <c r="L123" s="450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75" customHeight="1">
      <c r="A124" s="36"/>
      <c r="B124" s="432"/>
      <c r="C124" s="432" t="s">
        <v>716</v>
      </c>
      <c r="D124" s="446" t="s">
        <v>696</v>
      </c>
      <c r="F124" s="431"/>
      <c r="G124" s="432"/>
      <c r="H124" s="432"/>
      <c r="I124" s="36"/>
      <c r="J124" s="36"/>
      <c r="K124" s="36"/>
      <c r="L124" s="450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75" customHeight="1">
      <c r="A125" s="36"/>
      <c r="B125" s="432"/>
      <c r="C125" s="432" t="s">
        <v>716</v>
      </c>
      <c r="D125" s="446" t="s">
        <v>709</v>
      </c>
      <c r="F125" s="431"/>
      <c r="G125" s="432"/>
      <c r="H125" s="432"/>
      <c r="I125" s="36"/>
      <c r="J125" s="36"/>
      <c r="K125" s="36"/>
      <c r="L125" s="450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75" customHeight="1">
      <c r="A126" s="36"/>
      <c r="B126" s="432"/>
      <c r="C126" s="432" t="s">
        <v>716</v>
      </c>
      <c r="D126" s="446" t="s">
        <v>832</v>
      </c>
      <c r="F126" s="431"/>
      <c r="G126" s="432"/>
      <c r="H126" s="432"/>
      <c r="I126" s="36"/>
      <c r="J126" s="36"/>
      <c r="K126" s="36"/>
      <c r="L126" s="450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75" customHeight="1">
      <c r="A127" s="36"/>
      <c r="B127" s="432"/>
      <c r="C127" s="432" t="s">
        <v>716</v>
      </c>
      <c r="D127" s="446" t="s">
        <v>833</v>
      </c>
      <c r="F127" s="431"/>
      <c r="G127" s="432"/>
      <c r="H127" s="432"/>
      <c r="I127" s="36"/>
      <c r="J127" s="36"/>
      <c r="K127" s="36"/>
      <c r="L127" s="450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75" customHeight="1">
      <c r="A128" s="36"/>
      <c r="B128" s="432"/>
      <c r="C128" s="432" t="s">
        <v>716</v>
      </c>
      <c r="D128" s="446" t="s">
        <v>834</v>
      </c>
      <c r="F128" s="431"/>
      <c r="G128" s="432"/>
      <c r="H128" s="432"/>
      <c r="I128" s="36"/>
      <c r="J128" s="36"/>
      <c r="K128" s="36"/>
      <c r="L128" s="450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75" customHeight="1">
      <c r="A129" s="36"/>
      <c r="B129" s="432"/>
      <c r="C129" s="432" t="s">
        <v>716</v>
      </c>
      <c r="D129" s="446" t="s">
        <v>752</v>
      </c>
      <c r="F129" s="431"/>
      <c r="G129" s="432"/>
      <c r="H129" s="432"/>
      <c r="I129" s="36"/>
      <c r="J129" s="36"/>
      <c r="K129" s="36"/>
      <c r="L129" s="450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75" customHeight="1">
      <c r="A130" s="36"/>
      <c r="B130" s="432"/>
      <c r="C130" s="432" t="s">
        <v>716</v>
      </c>
      <c r="D130" s="446" t="s">
        <v>835</v>
      </c>
      <c r="F130" s="431"/>
      <c r="G130" s="432"/>
      <c r="H130" s="432"/>
      <c r="I130" s="36"/>
      <c r="J130" s="36"/>
      <c r="K130" s="36"/>
      <c r="L130" s="450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75" customHeight="1">
      <c r="A131" s="36"/>
      <c r="B131" s="432"/>
      <c r="C131" s="432" t="s">
        <v>716</v>
      </c>
      <c r="D131" s="446" t="s">
        <v>836</v>
      </c>
      <c r="F131" s="431"/>
      <c r="G131" s="432"/>
      <c r="H131" s="432"/>
      <c r="I131" s="36"/>
      <c r="J131" s="36"/>
      <c r="K131" s="36"/>
      <c r="L131" s="450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75" customHeight="1">
      <c r="A132" s="36"/>
      <c r="B132" s="432"/>
      <c r="C132" s="432" t="s">
        <v>716</v>
      </c>
      <c r="D132" s="446" t="s">
        <v>837</v>
      </c>
      <c r="F132" s="431"/>
      <c r="G132" s="432"/>
      <c r="H132" s="432"/>
      <c r="I132" s="36"/>
      <c r="J132" s="36"/>
      <c r="K132" s="36"/>
      <c r="L132" s="450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75" customHeight="1">
      <c r="A133" s="36"/>
      <c r="B133" s="432"/>
      <c r="C133" s="432" t="s">
        <v>725</v>
      </c>
      <c r="D133" s="446" t="s">
        <v>838</v>
      </c>
      <c r="F133" s="431"/>
      <c r="G133" s="432"/>
      <c r="H133" s="432"/>
      <c r="I133" s="36"/>
      <c r="J133" s="36"/>
      <c r="K133" s="36"/>
      <c r="L133" s="450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75" customHeight="1">
      <c r="A134" s="36"/>
      <c r="B134" s="432"/>
      <c r="C134" s="432" t="s">
        <v>725</v>
      </c>
      <c r="D134" s="446" t="s">
        <v>839</v>
      </c>
      <c r="F134" s="431"/>
      <c r="G134" s="432"/>
      <c r="H134" s="432"/>
      <c r="I134" s="36"/>
      <c r="J134" s="36"/>
      <c r="K134" s="36"/>
      <c r="L134" s="450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75" customHeight="1">
      <c r="A135" s="36"/>
      <c r="B135" s="432"/>
      <c r="C135" s="432" t="s">
        <v>725</v>
      </c>
      <c r="D135" s="446" t="s">
        <v>840</v>
      </c>
      <c r="F135" s="431"/>
      <c r="G135" s="432"/>
      <c r="H135" s="432"/>
      <c r="I135" s="36"/>
      <c r="J135" s="36"/>
      <c r="K135" s="36"/>
      <c r="L135" s="450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75" customHeight="1">
      <c r="A136" s="36"/>
      <c r="B136" s="432"/>
      <c r="C136" s="432"/>
      <c r="D136" s="446"/>
      <c r="F136" s="431"/>
      <c r="G136" s="432"/>
      <c r="H136" s="432"/>
      <c r="I136" s="36"/>
      <c r="J136" s="36"/>
      <c r="K136" s="36"/>
      <c r="L136" s="450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75" customHeight="1">
      <c r="A137" s="36"/>
      <c r="B137" s="432"/>
      <c r="C137" s="432"/>
      <c r="D137" s="446"/>
      <c r="F137" s="431"/>
      <c r="G137" s="432"/>
      <c r="H137" s="432"/>
      <c r="I137" s="36"/>
      <c r="J137" s="36"/>
      <c r="K137" s="36"/>
      <c r="L137" s="450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75" customHeight="1">
      <c r="A138" s="36"/>
      <c r="B138" s="432"/>
      <c r="C138" s="432"/>
      <c r="D138" s="446"/>
      <c r="F138" s="431"/>
      <c r="G138" s="432"/>
      <c r="H138" s="432"/>
      <c r="I138" s="36"/>
      <c r="J138" s="36"/>
      <c r="K138" s="36"/>
      <c r="L138" s="450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75" customHeight="1">
      <c r="A139" s="36"/>
      <c r="B139" s="432"/>
      <c r="C139" s="432"/>
      <c r="D139" s="446"/>
      <c r="F139" s="431"/>
      <c r="G139" s="432"/>
      <c r="H139" s="432"/>
      <c r="I139" s="36"/>
      <c r="J139" s="36"/>
      <c r="K139" s="36"/>
      <c r="L139" s="450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75" customHeight="1">
      <c r="A140" s="36"/>
      <c r="B140" s="432"/>
      <c r="C140" s="432"/>
      <c r="D140" s="446"/>
      <c r="F140" s="431"/>
      <c r="G140" s="432"/>
      <c r="H140" s="432"/>
      <c r="I140" s="36"/>
      <c r="J140" s="36"/>
      <c r="K140" s="36"/>
      <c r="L140" s="450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75" customHeight="1">
      <c r="A141" s="36"/>
      <c r="B141" s="432"/>
      <c r="C141" s="432"/>
      <c r="D141" s="446"/>
      <c r="F141" s="431"/>
      <c r="G141" s="432"/>
      <c r="H141" s="432"/>
      <c r="I141" s="36"/>
      <c r="J141" s="36"/>
      <c r="K141" s="36"/>
      <c r="L141" s="450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75" customHeight="1">
      <c r="A142" s="36"/>
      <c r="B142" s="432"/>
      <c r="C142" s="432"/>
      <c r="D142" s="446"/>
      <c r="F142" s="431"/>
      <c r="G142" s="432"/>
      <c r="H142" s="432"/>
      <c r="I142" s="36"/>
      <c r="J142" s="36"/>
      <c r="K142" s="36"/>
      <c r="L142" s="450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75" customHeight="1">
      <c r="A143" s="36"/>
      <c r="B143" s="432"/>
      <c r="C143" s="432"/>
      <c r="D143" s="446"/>
      <c r="F143" s="431"/>
      <c r="G143" s="432"/>
      <c r="H143" s="432"/>
      <c r="I143" s="36"/>
      <c r="J143" s="36"/>
      <c r="K143" s="36"/>
      <c r="L143" s="450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75" customHeight="1">
      <c r="A144" s="36"/>
      <c r="B144" s="432"/>
      <c r="C144" s="432"/>
      <c r="D144" s="446"/>
      <c r="F144" s="431"/>
      <c r="G144" s="432"/>
      <c r="H144" s="432"/>
      <c r="I144" s="36"/>
      <c r="J144" s="36"/>
      <c r="K144" s="36"/>
      <c r="L144" s="450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75" customHeight="1">
      <c r="A145" s="36"/>
      <c r="B145" s="432"/>
      <c r="C145" s="432"/>
      <c r="D145" s="446"/>
      <c r="F145" s="431"/>
      <c r="G145" s="432"/>
      <c r="H145" s="432"/>
      <c r="I145" s="36"/>
      <c r="J145" s="36"/>
      <c r="K145" s="36"/>
      <c r="L145" s="450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75" customHeight="1">
      <c r="A146" s="36"/>
      <c r="B146" s="432"/>
      <c r="C146" s="432"/>
      <c r="D146" s="446"/>
      <c r="F146" s="431"/>
      <c r="G146" s="432"/>
      <c r="H146" s="432"/>
      <c r="I146" s="36"/>
      <c r="J146" s="36"/>
      <c r="K146" s="36"/>
      <c r="L146" s="450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75" customHeight="1">
      <c r="A147" s="36"/>
      <c r="B147" s="432"/>
      <c r="C147" s="432"/>
      <c r="D147" s="446"/>
      <c r="F147" s="431"/>
      <c r="G147" s="432"/>
      <c r="H147" s="432"/>
      <c r="I147" s="36"/>
      <c r="J147" s="36"/>
      <c r="K147" s="36"/>
      <c r="L147" s="450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75" customHeight="1">
      <c r="A148" s="36"/>
      <c r="B148" s="432"/>
      <c r="C148" s="432"/>
      <c r="D148" s="446"/>
      <c r="F148" s="431"/>
      <c r="G148" s="432"/>
      <c r="H148" s="432"/>
      <c r="I148" s="36"/>
      <c r="J148" s="36"/>
      <c r="K148" s="36"/>
      <c r="L148" s="450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75" customHeight="1">
      <c r="A149" s="36"/>
      <c r="B149" s="432"/>
      <c r="C149" s="432"/>
      <c r="D149" s="446"/>
      <c r="F149" s="431"/>
      <c r="G149" s="432"/>
      <c r="H149" s="432"/>
      <c r="I149" s="36"/>
      <c r="J149" s="36"/>
      <c r="K149" s="36"/>
      <c r="L149" s="450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75" customHeight="1">
      <c r="A150" s="36"/>
      <c r="B150" s="432"/>
      <c r="C150" s="432"/>
      <c r="D150" s="446"/>
      <c r="F150" s="431"/>
      <c r="G150" s="432"/>
      <c r="H150" s="432"/>
      <c r="I150" s="36"/>
      <c r="J150" s="36"/>
      <c r="K150" s="36"/>
      <c r="L150" s="450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75" customHeight="1">
      <c r="A151" s="36"/>
      <c r="B151" s="432"/>
      <c r="C151" s="432"/>
      <c r="D151" s="446"/>
      <c r="F151" s="431"/>
      <c r="G151" s="432"/>
      <c r="H151" s="432"/>
      <c r="I151" s="36"/>
      <c r="J151" s="36"/>
      <c r="K151" s="36"/>
      <c r="L151" s="450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75" customHeight="1">
      <c r="A152" s="36"/>
      <c r="B152" s="432"/>
      <c r="C152" s="432"/>
      <c r="D152" s="446"/>
      <c r="F152" s="431"/>
      <c r="G152" s="432"/>
      <c r="H152" s="432"/>
      <c r="I152" s="36"/>
      <c r="J152" s="36"/>
      <c r="K152" s="36"/>
      <c r="L152" s="450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75" customHeight="1">
      <c r="A153" s="36"/>
      <c r="B153" s="432"/>
      <c r="C153" s="432"/>
      <c r="D153" s="446"/>
      <c r="F153" s="431"/>
      <c r="G153" s="434"/>
      <c r="H153" s="434"/>
      <c r="I153" s="36"/>
      <c r="J153" s="36"/>
      <c r="K153" s="36"/>
      <c r="L153" s="450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75" customHeight="1">
      <c r="A154" s="36"/>
      <c r="B154" s="432"/>
      <c r="C154" s="432"/>
      <c r="D154" s="446"/>
      <c r="F154" s="431"/>
      <c r="G154" s="434"/>
      <c r="H154" s="434"/>
      <c r="I154" s="36"/>
      <c r="J154" s="36"/>
      <c r="K154" s="36"/>
      <c r="L154" s="450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75" customHeight="1">
      <c r="A155" s="36"/>
      <c r="B155" s="432"/>
      <c r="C155" s="432"/>
      <c r="D155" s="446"/>
      <c r="F155" s="431"/>
      <c r="G155" s="434"/>
      <c r="H155" s="434"/>
      <c r="I155" s="36"/>
      <c r="J155" s="36"/>
      <c r="K155" s="36"/>
      <c r="L155" s="450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75" customHeight="1">
      <c r="A156" s="36"/>
      <c r="B156" s="432"/>
      <c r="C156" s="432"/>
      <c r="D156" s="446"/>
      <c r="F156" s="431"/>
      <c r="G156" s="434"/>
      <c r="H156" s="434"/>
      <c r="I156" s="36"/>
      <c r="J156" s="36"/>
      <c r="K156" s="36"/>
      <c r="L156" s="450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75" customHeight="1">
      <c r="A157" s="36"/>
      <c r="B157" s="432"/>
      <c r="C157" s="432"/>
      <c r="D157" s="446"/>
      <c r="F157" s="431"/>
      <c r="G157" s="434"/>
      <c r="H157" s="434"/>
      <c r="I157" s="36"/>
      <c r="J157" s="36"/>
      <c r="K157" s="36"/>
      <c r="L157" s="450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75" customHeight="1">
      <c r="A158" s="36"/>
      <c r="B158" s="432"/>
      <c r="C158" s="432"/>
      <c r="D158" s="446"/>
      <c r="F158" s="431"/>
      <c r="G158" s="434"/>
      <c r="H158" s="434"/>
      <c r="I158" s="36"/>
      <c r="J158" s="36"/>
      <c r="K158" s="36"/>
      <c r="L158" s="450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75" customHeight="1">
      <c r="A159" s="36"/>
      <c r="B159" s="432"/>
      <c r="C159" s="432"/>
      <c r="D159" s="446"/>
      <c r="F159" s="431"/>
      <c r="G159" s="434"/>
      <c r="H159" s="434"/>
      <c r="I159" s="36"/>
      <c r="J159" s="36"/>
      <c r="K159" s="36"/>
      <c r="L159" s="450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75" customHeight="1">
      <c r="A160" s="36"/>
      <c r="B160" s="432"/>
      <c r="C160" s="432"/>
      <c r="D160" s="446"/>
      <c r="F160" s="431"/>
      <c r="G160" s="434"/>
      <c r="H160" s="434"/>
      <c r="I160" s="36"/>
      <c r="J160" s="36"/>
      <c r="K160" s="36"/>
      <c r="L160" s="450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75" customHeight="1">
      <c r="A161" s="36"/>
      <c r="B161" s="432"/>
      <c r="C161" s="432"/>
      <c r="D161" s="446"/>
      <c r="F161" s="431"/>
      <c r="G161" s="434"/>
      <c r="H161" s="434"/>
      <c r="I161" s="36"/>
      <c r="J161" s="36"/>
      <c r="K161" s="36"/>
      <c r="L161" s="450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75" customHeight="1">
      <c r="A162" s="36"/>
      <c r="B162" s="432"/>
      <c r="C162" s="432"/>
      <c r="D162" s="446"/>
      <c r="F162" s="431"/>
      <c r="G162" s="434"/>
      <c r="H162" s="434"/>
      <c r="I162" s="36"/>
      <c r="J162" s="36"/>
      <c r="K162" s="36"/>
      <c r="L162" s="450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75" customHeight="1">
      <c r="A163" s="36"/>
      <c r="B163" s="432"/>
      <c r="C163" s="432"/>
      <c r="D163" s="446"/>
      <c r="F163" s="431"/>
      <c r="G163" s="434"/>
      <c r="H163" s="434"/>
      <c r="I163" s="36"/>
      <c r="J163" s="36"/>
      <c r="K163" s="36"/>
      <c r="L163" s="450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75" customHeight="1">
      <c r="A164" s="36"/>
      <c r="B164" s="432"/>
      <c r="C164" s="432"/>
      <c r="D164" s="446"/>
      <c r="F164" s="431"/>
      <c r="G164" s="434"/>
      <c r="H164" s="434"/>
      <c r="I164" s="36"/>
      <c r="J164" s="36"/>
      <c r="K164" s="36"/>
      <c r="L164" s="450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75" customHeight="1">
      <c r="A165" s="36"/>
      <c r="B165" s="432"/>
      <c r="C165" s="432"/>
      <c r="D165" s="446"/>
      <c r="F165" s="431"/>
      <c r="G165" s="434"/>
      <c r="H165" s="434"/>
      <c r="I165" s="36"/>
      <c r="J165" s="36"/>
      <c r="K165" s="36"/>
      <c r="L165" s="450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75" customHeight="1">
      <c r="A166" s="36"/>
      <c r="B166" s="432"/>
      <c r="C166" s="432"/>
      <c r="D166" s="446"/>
      <c r="F166" s="431"/>
      <c r="G166" s="434"/>
      <c r="H166" s="434"/>
      <c r="I166" s="36"/>
      <c r="J166" s="36"/>
      <c r="K166" s="36"/>
      <c r="L166" s="450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75" customHeight="1">
      <c r="A167" s="36"/>
      <c r="B167" s="432"/>
      <c r="C167" s="432"/>
      <c r="D167" s="446"/>
      <c r="F167" s="431"/>
      <c r="G167" s="434"/>
      <c r="H167" s="434"/>
      <c r="I167" s="36"/>
      <c r="J167" s="36"/>
      <c r="K167" s="36"/>
      <c r="L167" s="450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75" customHeight="1">
      <c r="A168" s="36"/>
      <c r="B168" s="432"/>
      <c r="C168" s="432"/>
      <c r="D168" s="446"/>
      <c r="F168" s="431"/>
      <c r="G168" s="434"/>
      <c r="H168" s="434"/>
      <c r="I168" s="36"/>
      <c r="J168" s="36"/>
      <c r="K168" s="36"/>
      <c r="L168" s="450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75" customHeight="1">
      <c r="A169" s="36"/>
      <c r="B169" s="432"/>
      <c r="C169" s="432"/>
      <c r="D169" s="446"/>
      <c r="F169" s="431"/>
      <c r="G169" s="434"/>
      <c r="H169" s="434"/>
      <c r="I169" s="36"/>
      <c r="J169" s="36"/>
      <c r="K169" s="36"/>
      <c r="L169" s="450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75" customHeight="1">
      <c r="A170" s="36"/>
      <c r="B170" s="432"/>
      <c r="C170" s="432"/>
      <c r="D170" s="446"/>
      <c r="F170" s="431"/>
      <c r="G170" s="434"/>
      <c r="H170" s="434"/>
      <c r="I170" s="36"/>
      <c r="J170" s="36"/>
      <c r="K170" s="36"/>
      <c r="L170" s="450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75" customHeight="1">
      <c r="A171" s="36"/>
      <c r="B171" s="432"/>
      <c r="C171" s="432"/>
      <c r="D171" s="446"/>
      <c r="F171" s="431"/>
      <c r="G171" s="434"/>
      <c r="H171" s="434"/>
      <c r="I171" s="36"/>
      <c r="J171" s="36"/>
      <c r="K171" s="36"/>
      <c r="L171" s="450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75" customHeight="1">
      <c r="A172" s="36"/>
      <c r="B172" s="432"/>
      <c r="C172" s="432"/>
      <c r="D172" s="446"/>
      <c r="F172" s="431"/>
      <c r="G172" s="434"/>
      <c r="H172" s="434"/>
      <c r="I172" s="36"/>
      <c r="J172" s="36"/>
      <c r="K172" s="36"/>
      <c r="L172" s="450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75" customHeight="1">
      <c r="A173" s="36"/>
      <c r="B173" s="432"/>
      <c r="C173" s="432"/>
      <c r="D173" s="446"/>
      <c r="F173" s="431"/>
      <c r="G173" s="434"/>
      <c r="H173" s="434"/>
      <c r="I173" s="36"/>
      <c r="J173" s="36"/>
      <c r="K173" s="36"/>
      <c r="L173" s="450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75" customHeight="1">
      <c r="A174" s="36"/>
      <c r="B174" s="432"/>
      <c r="C174" s="432"/>
      <c r="D174" s="446"/>
      <c r="F174" s="431"/>
      <c r="G174" s="434"/>
      <c r="H174" s="434"/>
      <c r="I174" s="36"/>
      <c r="J174" s="36"/>
      <c r="K174" s="36"/>
      <c r="L174" s="450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75" customHeight="1">
      <c r="A175" s="36"/>
      <c r="B175" s="432"/>
      <c r="C175" s="432"/>
      <c r="D175" s="446"/>
      <c r="F175" s="431"/>
      <c r="G175" s="434"/>
      <c r="H175" s="434"/>
      <c r="I175" s="36"/>
      <c r="J175" s="36"/>
      <c r="K175" s="36"/>
      <c r="L175" s="450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75" customHeight="1">
      <c r="A176" s="36"/>
      <c r="B176" s="432"/>
      <c r="C176" s="432"/>
      <c r="D176" s="446"/>
      <c r="F176" s="431"/>
      <c r="G176" s="434"/>
      <c r="H176" s="434"/>
      <c r="I176" s="36"/>
      <c r="J176" s="36"/>
      <c r="K176" s="36"/>
      <c r="L176" s="450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75" customHeight="1">
      <c r="A177" s="36"/>
      <c r="B177" s="432"/>
      <c r="C177" s="432"/>
      <c r="D177" s="446"/>
      <c r="F177" s="431"/>
      <c r="G177" s="434"/>
      <c r="H177" s="434"/>
      <c r="I177" s="36"/>
      <c r="J177" s="36"/>
      <c r="K177" s="36"/>
      <c r="L177" s="450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75" customHeight="1">
      <c r="A178" s="36"/>
      <c r="B178" s="432"/>
      <c r="C178" s="432"/>
      <c r="D178" s="446"/>
      <c r="F178" s="431"/>
      <c r="G178" s="434"/>
      <c r="H178" s="434"/>
      <c r="I178" s="36"/>
      <c r="J178" s="36"/>
      <c r="K178" s="36"/>
      <c r="L178" s="450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75" customHeight="1">
      <c r="A179" s="36"/>
      <c r="B179" s="432"/>
      <c r="C179" s="432"/>
      <c r="D179" s="446"/>
      <c r="F179" s="431"/>
      <c r="G179" s="434"/>
      <c r="H179" s="434"/>
      <c r="I179" s="36"/>
      <c r="J179" s="36"/>
      <c r="K179" s="36"/>
      <c r="L179" s="450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75" customHeight="1">
      <c r="A180" s="36"/>
      <c r="B180" s="432"/>
      <c r="C180" s="432"/>
      <c r="D180" s="446"/>
      <c r="F180" s="431"/>
      <c r="G180" s="434"/>
      <c r="H180" s="434"/>
      <c r="I180" s="36"/>
      <c r="J180" s="36"/>
      <c r="K180" s="36"/>
      <c r="L180" s="450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75" customHeight="1">
      <c r="A181" s="36"/>
      <c r="B181" s="432"/>
      <c r="C181" s="432"/>
      <c r="D181" s="446"/>
      <c r="F181" s="431"/>
      <c r="G181" s="434"/>
      <c r="H181" s="434"/>
      <c r="I181" s="36"/>
      <c r="J181" s="36"/>
      <c r="K181" s="36"/>
      <c r="L181" s="450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75" customHeight="1">
      <c r="A182" s="36"/>
      <c r="B182" s="432"/>
      <c r="C182" s="432"/>
      <c r="D182" s="446"/>
      <c r="F182" s="431"/>
      <c r="G182" s="432"/>
      <c r="H182" s="432"/>
      <c r="I182" s="36"/>
      <c r="J182" s="36"/>
      <c r="K182" s="36"/>
      <c r="L182" s="450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75" customHeight="1">
      <c r="A183" s="36"/>
      <c r="B183" s="432"/>
      <c r="C183" s="432"/>
      <c r="D183" s="446"/>
      <c r="F183" s="431"/>
      <c r="G183" s="432"/>
      <c r="H183" s="432"/>
      <c r="I183" s="36"/>
      <c r="J183" s="36"/>
      <c r="K183" s="36"/>
      <c r="L183" s="450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75" customHeight="1">
      <c r="A184" s="36"/>
      <c r="B184" s="432"/>
      <c r="C184" s="432"/>
      <c r="D184" s="446"/>
      <c r="F184" s="431"/>
      <c r="G184" s="432"/>
      <c r="H184" s="432"/>
      <c r="I184" s="36"/>
      <c r="J184" s="36"/>
      <c r="K184" s="36"/>
      <c r="L184" s="450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75" customHeight="1">
      <c r="A185" s="36"/>
      <c r="B185" s="432"/>
      <c r="C185" s="432"/>
      <c r="D185" s="446"/>
      <c r="F185" s="431"/>
      <c r="G185" s="432"/>
      <c r="H185" s="432"/>
      <c r="I185" s="36"/>
      <c r="J185" s="36"/>
      <c r="K185" s="36"/>
      <c r="L185" s="450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75" customHeight="1">
      <c r="A186" s="36"/>
      <c r="B186" s="432"/>
      <c r="C186" s="432"/>
      <c r="D186" s="446"/>
      <c r="F186" s="431"/>
      <c r="G186" s="432"/>
      <c r="H186" s="432"/>
      <c r="I186" s="36"/>
      <c r="J186" s="36"/>
      <c r="K186" s="36"/>
      <c r="L186" s="450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75" customHeight="1">
      <c r="A187" s="36"/>
      <c r="B187" s="432"/>
      <c r="C187" s="432"/>
      <c r="D187" s="446"/>
      <c r="F187" s="431"/>
      <c r="G187" s="432"/>
      <c r="H187" s="432"/>
      <c r="I187" s="36"/>
      <c r="J187" s="36"/>
      <c r="K187" s="36"/>
      <c r="L187" s="450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75" customHeight="1">
      <c r="A188" s="36"/>
      <c r="B188" s="432"/>
      <c r="C188" s="432"/>
      <c r="D188" s="446"/>
      <c r="F188" s="431"/>
      <c r="G188" s="432"/>
      <c r="H188" s="432"/>
      <c r="I188" s="36"/>
      <c r="J188" s="36"/>
      <c r="K188" s="36"/>
      <c r="L188" s="450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75" customHeight="1">
      <c r="A189" s="36"/>
      <c r="B189" s="432"/>
      <c r="C189" s="432"/>
      <c r="D189" s="446"/>
      <c r="F189" s="431"/>
      <c r="G189" s="432"/>
      <c r="H189" s="432"/>
      <c r="I189" s="36"/>
      <c r="J189" s="36"/>
      <c r="K189" s="36"/>
      <c r="L189" s="450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75" customHeight="1">
      <c r="A190" s="36"/>
      <c r="B190" s="432"/>
      <c r="C190" s="432"/>
      <c r="D190" s="446"/>
      <c r="F190" s="431"/>
      <c r="G190" s="432"/>
      <c r="H190" s="432"/>
      <c r="I190" s="36"/>
      <c r="J190" s="36"/>
      <c r="K190" s="36"/>
      <c r="L190" s="450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75" customHeight="1">
      <c r="A191" s="36"/>
      <c r="B191" s="432"/>
      <c r="C191" s="432"/>
      <c r="D191" s="446"/>
      <c r="F191" s="431"/>
      <c r="G191" s="432"/>
      <c r="H191" s="432"/>
      <c r="I191" s="36"/>
      <c r="J191" s="36"/>
      <c r="K191" s="36"/>
      <c r="L191" s="450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75" customHeight="1">
      <c r="A192" s="36"/>
      <c r="B192" s="432"/>
      <c r="C192" s="432"/>
      <c r="D192" s="446"/>
      <c r="F192" s="431"/>
      <c r="G192" s="432"/>
      <c r="H192" s="432"/>
      <c r="I192" s="36"/>
      <c r="J192" s="36"/>
      <c r="K192" s="36"/>
      <c r="L192" s="450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75" customHeight="1">
      <c r="A193" s="36"/>
      <c r="B193" s="432"/>
      <c r="C193" s="432"/>
      <c r="D193" s="446"/>
      <c r="F193" s="431"/>
      <c r="G193" s="432"/>
      <c r="H193" s="432"/>
      <c r="I193" s="36"/>
      <c r="J193" s="36"/>
      <c r="K193" s="36"/>
      <c r="L193" s="450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75" customHeight="1">
      <c r="A194" s="36"/>
      <c r="B194" s="432"/>
      <c r="C194" s="432"/>
      <c r="D194" s="446"/>
      <c r="F194" s="431"/>
      <c r="G194" s="432"/>
      <c r="H194" s="432"/>
      <c r="I194" s="36"/>
      <c r="J194" s="36"/>
      <c r="K194" s="36"/>
      <c r="L194" s="450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75" customHeight="1">
      <c r="A195" s="36"/>
      <c r="B195" s="432"/>
      <c r="C195" s="432"/>
      <c r="D195" s="446"/>
      <c r="F195" s="431"/>
      <c r="G195" s="432"/>
      <c r="H195" s="432"/>
      <c r="I195" s="36"/>
      <c r="J195" s="36"/>
      <c r="K195" s="36"/>
      <c r="L195" s="450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75" customHeight="1">
      <c r="A196" s="36"/>
      <c r="B196" s="432"/>
      <c r="C196" s="432"/>
      <c r="D196" s="446"/>
      <c r="F196" s="431"/>
      <c r="G196" s="432"/>
      <c r="H196" s="432"/>
      <c r="I196" s="36"/>
      <c r="J196" s="36"/>
      <c r="K196" s="36"/>
      <c r="L196" s="450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75" customHeight="1">
      <c r="A197" s="36"/>
      <c r="B197" s="432"/>
      <c r="C197" s="432"/>
      <c r="D197" s="446"/>
      <c r="F197" s="431"/>
      <c r="G197" s="432"/>
      <c r="H197" s="432"/>
      <c r="I197" s="36"/>
      <c r="J197" s="36"/>
      <c r="K197" s="36"/>
      <c r="L197" s="450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75" customHeight="1">
      <c r="A198" s="36"/>
      <c r="B198" s="432"/>
      <c r="C198" s="432"/>
      <c r="D198" s="446"/>
      <c r="F198" s="431"/>
      <c r="G198" s="432"/>
      <c r="H198" s="432"/>
      <c r="I198" s="36"/>
      <c r="J198" s="36"/>
      <c r="K198" s="36"/>
      <c r="L198" s="450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75" customHeight="1">
      <c r="A199" s="36"/>
      <c r="B199" s="432"/>
      <c r="C199" s="432"/>
      <c r="D199" s="446"/>
      <c r="F199" s="431"/>
      <c r="G199" s="432"/>
      <c r="H199" s="432"/>
      <c r="I199" s="36"/>
      <c r="J199" s="36"/>
      <c r="K199" s="36"/>
      <c r="L199" s="450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75" customHeight="1">
      <c r="A200" s="36"/>
      <c r="B200" s="432"/>
      <c r="C200" s="432"/>
      <c r="D200" s="446"/>
      <c r="F200" s="431"/>
      <c r="G200" s="432"/>
      <c r="H200" s="432"/>
      <c r="I200" s="36"/>
      <c r="J200" s="36"/>
      <c r="K200" s="36"/>
      <c r="L200" s="450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75" customHeight="1">
      <c r="A201" s="36"/>
      <c r="B201" s="432"/>
      <c r="C201" s="432"/>
      <c r="D201" s="446"/>
      <c r="F201" s="431"/>
      <c r="G201" s="432"/>
      <c r="H201" s="432"/>
      <c r="I201" s="36"/>
      <c r="J201" s="36"/>
      <c r="K201" s="36"/>
      <c r="L201" s="450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75" customHeight="1">
      <c r="A202" s="36"/>
      <c r="B202" s="432"/>
      <c r="C202" s="432"/>
      <c r="D202" s="446"/>
      <c r="F202" s="431"/>
      <c r="G202" s="432"/>
      <c r="H202" s="432"/>
      <c r="I202" s="36"/>
      <c r="J202" s="36"/>
      <c r="K202" s="36"/>
      <c r="L202" s="450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75" customHeight="1">
      <c r="A203" s="36"/>
      <c r="B203" s="432"/>
      <c r="C203" s="432"/>
      <c r="D203" s="446"/>
      <c r="F203" s="431"/>
      <c r="G203" s="432"/>
      <c r="H203" s="432"/>
      <c r="I203" s="36"/>
      <c r="J203" s="36"/>
      <c r="K203" s="36"/>
      <c r="L203" s="450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75" customHeight="1">
      <c r="A204" s="36"/>
      <c r="B204" s="432"/>
      <c r="C204" s="432"/>
      <c r="D204" s="446"/>
      <c r="F204" s="431"/>
      <c r="G204" s="432"/>
      <c r="H204" s="432"/>
      <c r="I204" s="36"/>
      <c r="J204" s="36"/>
      <c r="K204" s="36"/>
      <c r="L204" s="450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75" customHeight="1">
      <c r="A205" s="36"/>
      <c r="B205" s="432"/>
      <c r="C205" s="432"/>
      <c r="D205" s="446"/>
      <c r="F205" s="431"/>
      <c r="G205" s="432"/>
      <c r="H205" s="432"/>
      <c r="I205" s="36"/>
      <c r="J205" s="36"/>
      <c r="K205" s="36"/>
      <c r="L205" s="450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75" customHeight="1">
      <c r="A206" s="36"/>
      <c r="B206" s="432"/>
      <c r="C206" s="432"/>
      <c r="D206" s="446"/>
      <c r="F206" s="431"/>
      <c r="G206" s="432"/>
      <c r="H206" s="432"/>
      <c r="I206" s="36"/>
      <c r="J206" s="36"/>
      <c r="K206" s="36"/>
      <c r="L206" s="450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75" customHeight="1">
      <c r="A207" s="36"/>
      <c r="B207" s="432"/>
      <c r="C207" s="432"/>
      <c r="D207" s="446"/>
      <c r="F207" s="431"/>
      <c r="G207" s="432"/>
      <c r="H207" s="432"/>
      <c r="I207" s="36"/>
      <c r="J207" s="36"/>
      <c r="K207" s="36"/>
      <c r="L207" s="450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75" customHeight="1">
      <c r="A208" s="36"/>
      <c r="B208" s="432"/>
      <c r="C208" s="432"/>
      <c r="D208" s="446"/>
      <c r="F208" s="431"/>
      <c r="G208" s="432"/>
      <c r="H208" s="432"/>
      <c r="I208" s="36"/>
      <c r="J208" s="36"/>
      <c r="K208" s="36"/>
      <c r="L208" s="450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75" customHeight="1">
      <c r="A209" s="36"/>
      <c r="B209" s="432"/>
      <c r="C209" s="432"/>
      <c r="D209" s="446"/>
      <c r="F209" s="431"/>
      <c r="G209" s="432"/>
      <c r="H209" s="432"/>
      <c r="I209" s="36"/>
      <c r="J209" s="36"/>
      <c r="K209" s="36"/>
      <c r="L209" s="450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75" customHeight="1">
      <c r="A210" s="36"/>
      <c r="B210" s="432"/>
      <c r="C210" s="432"/>
      <c r="D210" s="446"/>
      <c r="F210" s="431"/>
      <c r="G210" s="432"/>
      <c r="H210" s="432"/>
      <c r="I210" s="36"/>
      <c r="J210" s="36"/>
      <c r="K210" s="36"/>
      <c r="L210" s="450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75" customHeight="1">
      <c r="A211" s="36"/>
      <c r="B211" s="432"/>
      <c r="C211" s="432"/>
      <c r="D211" s="446"/>
      <c r="F211" s="431"/>
      <c r="G211" s="432"/>
      <c r="H211" s="432"/>
      <c r="I211" s="36"/>
      <c r="J211" s="36"/>
      <c r="K211" s="36"/>
      <c r="L211" s="450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75" customHeight="1">
      <c r="A212" s="36"/>
      <c r="B212" s="432"/>
      <c r="C212" s="432"/>
      <c r="D212" s="446"/>
      <c r="F212" s="431"/>
      <c r="G212" s="432"/>
      <c r="H212" s="432"/>
      <c r="I212" s="36"/>
      <c r="J212" s="36"/>
      <c r="K212" s="36"/>
      <c r="L212" s="450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75" customHeight="1">
      <c r="A213" s="36"/>
      <c r="B213" s="432"/>
      <c r="C213" s="432"/>
      <c r="D213" s="446"/>
      <c r="F213" s="431"/>
      <c r="G213" s="432"/>
      <c r="H213" s="432"/>
      <c r="I213" s="36"/>
      <c r="J213" s="36"/>
      <c r="K213" s="36"/>
      <c r="L213" s="450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75" customHeight="1">
      <c r="A214" s="36"/>
      <c r="B214" s="432"/>
      <c r="C214" s="432"/>
      <c r="D214" s="446"/>
      <c r="F214" s="431"/>
      <c r="G214" s="432"/>
      <c r="H214" s="432"/>
      <c r="I214" s="36"/>
      <c r="J214" s="36"/>
      <c r="K214" s="36"/>
      <c r="L214" s="450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75" customHeight="1">
      <c r="A215" s="36"/>
      <c r="B215" s="432"/>
      <c r="C215" s="432"/>
      <c r="D215" s="446"/>
      <c r="F215" s="431"/>
      <c r="G215" s="432"/>
      <c r="H215" s="432"/>
      <c r="I215" s="36"/>
      <c r="J215" s="36"/>
      <c r="K215" s="36"/>
      <c r="L215" s="450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75" customHeight="1">
      <c r="A216" s="36"/>
      <c r="B216" s="432"/>
      <c r="C216" s="432"/>
      <c r="D216" s="446"/>
      <c r="F216" s="431"/>
      <c r="G216" s="432"/>
      <c r="H216" s="432"/>
      <c r="I216" s="36"/>
      <c r="J216" s="36"/>
      <c r="K216" s="36"/>
      <c r="L216" s="450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75" customHeight="1">
      <c r="A217" s="36"/>
      <c r="B217" s="432"/>
      <c r="C217" s="432"/>
      <c r="D217" s="446"/>
      <c r="F217" s="431"/>
      <c r="G217" s="432"/>
      <c r="H217" s="432"/>
      <c r="I217" s="36"/>
      <c r="J217" s="36"/>
      <c r="K217" s="36"/>
      <c r="L217" s="450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75" customHeight="1">
      <c r="A218" s="36"/>
      <c r="B218" s="432"/>
      <c r="C218" s="432"/>
      <c r="D218" s="446"/>
      <c r="F218" s="431"/>
      <c r="G218" s="432"/>
      <c r="H218" s="432"/>
      <c r="I218" s="36"/>
      <c r="J218" s="36"/>
      <c r="K218" s="36"/>
      <c r="L218" s="450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75" customHeight="1">
      <c r="A219" s="36"/>
      <c r="B219" s="432"/>
      <c r="C219" s="432"/>
      <c r="D219" s="446"/>
      <c r="F219" s="431"/>
      <c r="G219" s="432"/>
      <c r="H219" s="432"/>
      <c r="I219" s="36"/>
      <c r="J219" s="36"/>
      <c r="K219" s="36"/>
      <c r="L219" s="450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75" customHeight="1">
      <c r="A220" s="36"/>
      <c r="B220" s="432"/>
      <c r="C220" s="432"/>
      <c r="D220" s="446"/>
      <c r="F220" s="431"/>
      <c r="G220" s="432"/>
      <c r="H220" s="432"/>
      <c r="I220" s="36"/>
      <c r="J220" s="36"/>
      <c r="K220" s="36"/>
      <c r="L220" s="450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75" customHeight="1">
      <c r="A221" s="36"/>
      <c r="B221" s="432"/>
      <c r="C221" s="432"/>
      <c r="D221" s="446"/>
      <c r="F221" s="431"/>
      <c r="G221" s="432"/>
      <c r="H221" s="432"/>
      <c r="I221" s="36"/>
      <c r="J221" s="36"/>
      <c r="K221" s="36"/>
      <c r="L221" s="450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75" customHeight="1">
      <c r="A222" s="36"/>
      <c r="B222" s="432"/>
      <c r="C222" s="432"/>
      <c r="D222" s="446"/>
      <c r="F222" s="431"/>
      <c r="G222" s="432"/>
      <c r="H222" s="432"/>
      <c r="I222" s="36"/>
      <c r="J222" s="36"/>
      <c r="K222" s="36"/>
      <c r="L222" s="450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75" customHeight="1">
      <c r="A223" s="36"/>
      <c r="B223" s="432"/>
      <c r="C223" s="432"/>
      <c r="D223" s="446"/>
      <c r="F223" s="431"/>
      <c r="G223" s="432"/>
      <c r="H223" s="432"/>
      <c r="I223" s="36"/>
      <c r="J223" s="36"/>
      <c r="K223" s="36"/>
      <c r="L223" s="450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75" customHeight="1">
      <c r="A224" s="36"/>
      <c r="B224" s="432"/>
      <c r="C224" s="432"/>
      <c r="D224" s="446"/>
      <c r="F224" s="431"/>
      <c r="G224" s="434"/>
      <c r="H224" s="434"/>
      <c r="I224" s="36"/>
      <c r="J224" s="36"/>
      <c r="K224" s="36"/>
      <c r="L224" s="450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75" customHeight="1">
      <c r="A225" s="36"/>
      <c r="B225" s="432"/>
      <c r="C225" s="432"/>
      <c r="D225" s="446"/>
      <c r="F225" s="431"/>
      <c r="G225" s="434"/>
      <c r="H225" s="434"/>
      <c r="I225" s="36"/>
      <c r="J225" s="36"/>
      <c r="K225" s="36"/>
      <c r="L225" s="450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75" customHeight="1">
      <c r="A226" s="36"/>
      <c r="B226" s="432"/>
      <c r="C226" s="432"/>
      <c r="D226" s="446"/>
      <c r="F226" s="431"/>
      <c r="G226" s="434"/>
      <c r="H226" s="434"/>
      <c r="I226" s="36"/>
      <c r="J226" s="36"/>
      <c r="K226" s="36"/>
      <c r="L226" s="450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75" customHeight="1">
      <c r="A227" s="36"/>
      <c r="B227" s="432"/>
      <c r="C227" s="432"/>
      <c r="D227" s="446"/>
      <c r="F227" s="431"/>
      <c r="G227" s="434"/>
      <c r="H227" s="434"/>
      <c r="I227" s="36"/>
      <c r="J227" s="36"/>
      <c r="K227" s="36"/>
      <c r="L227" s="450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75" customHeight="1">
      <c r="A228" s="36"/>
      <c r="B228" s="432"/>
      <c r="C228" s="432"/>
      <c r="D228" s="446"/>
      <c r="F228" s="431"/>
      <c r="G228" s="434"/>
      <c r="H228" s="434"/>
      <c r="I228" s="36"/>
      <c r="J228" s="36"/>
      <c r="K228" s="36"/>
      <c r="L228" s="450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75" customHeight="1">
      <c r="A229" s="36"/>
      <c r="B229" s="432"/>
      <c r="C229" s="432"/>
      <c r="D229" s="446"/>
      <c r="F229" s="431"/>
      <c r="G229" s="432"/>
      <c r="H229" s="432"/>
      <c r="I229" s="36"/>
      <c r="J229" s="36"/>
      <c r="K229" s="36"/>
      <c r="L229" s="450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75" customHeight="1">
      <c r="A230" s="36"/>
      <c r="B230" s="432"/>
      <c r="C230" s="432"/>
      <c r="D230" s="446"/>
      <c r="F230" s="431"/>
      <c r="G230" s="432"/>
      <c r="H230" s="432"/>
      <c r="I230" s="36"/>
      <c r="J230" s="36"/>
      <c r="K230" s="36"/>
      <c r="L230" s="450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75" customHeight="1">
      <c r="A231" s="36"/>
      <c r="B231" s="432"/>
      <c r="C231" s="432"/>
      <c r="D231" s="446"/>
      <c r="F231" s="431"/>
      <c r="G231" s="432"/>
      <c r="H231" s="432"/>
      <c r="I231" s="36"/>
      <c r="J231" s="36"/>
      <c r="K231" s="36"/>
      <c r="L231" s="450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75" customHeight="1">
      <c r="A232" s="36"/>
      <c r="B232" s="432"/>
      <c r="C232" s="432"/>
      <c r="D232" s="446"/>
      <c r="F232" s="431"/>
      <c r="G232" s="434"/>
      <c r="H232" s="434"/>
      <c r="I232" s="36"/>
      <c r="J232" s="36"/>
      <c r="K232" s="36"/>
      <c r="L232" s="450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75" customHeight="1">
      <c r="A233" s="36"/>
      <c r="B233" s="432"/>
      <c r="C233" s="432"/>
      <c r="D233" s="446"/>
      <c r="F233" s="431"/>
      <c r="G233" s="432"/>
      <c r="H233" s="432"/>
      <c r="I233" s="36"/>
      <c r="J233" s="36"/>
      <c r="K233" s="36"/>
      <c r="L233" s="450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75" customHeight="1">
      <c r="A234" s="36"/>
      <c r="B234" s="432"/>
      <c r="C234" s="432"/>
      <c r="D234" s="446"/>
      <c r="F234" s="431"/>
      <c r="G234" s="432"/>
      <c r="H234" s="432"/>
      <c r="I234" s="36"/>
      <c r="J234" s="36"/>
      <c r="K234" s="36"/>
      <c r="L234" s="450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75" customHeight="1">
      <c r="A235" s="36"/>
      <c r="B235" s="432"/>
      <c r="C235" s="432"/>
      <c r="D235" s="446"/>
      <c r="F235" s="431"/>
      <c r="G235" s="432"/>
      <c r="H235" s="432"/>
      <c r="I235" s="36"/>
      <c r="J235" s="36"/>
      <c r="K235" s="36"/>
      <c r="L235" s="450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75" customHeight="1">
      <c r="A236" s="36"/>
      <c r="B236" s="432"/>
      <c r="C236" s="432"/>
      <c r="D236" s="446"/>
      <c r="F236" s="431"/>
      <c r="G236" s="432"/>
      <c r="H236" s="432"/>
      <c r="I236" s="36"/>
      <c r="J236" s="36"/>
      <c r="K236" s="36"/>
      <c r="L236" s="450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75" customHeight="1">
      <c r="A237" s="36"/>
      <c r="B237" s="432"/>
      <c r="C237" s="432"/>
      <c r="D237" s="446"/>
      <c r="F237" s="431"/>
      <c r="G237" s="432"/>
      <c r="H237" s="432"/>
      <c r="I237" s="36"/>
      <c r="J237" s="36"/>
      <c r="K237" s="36"/>
      <c r="L237" s="450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75" customHeight="1">
      <c r="A238" s="36"/>
      <c r="B238" s="432"/>
      <c r="C238" s="432"/>
      <c r="D238" s="446"/>
      <c r="F238" s="431"/>
      <c r="G238" s="432"/>
      <c r="H238" s="432"/>
      <c r="I238" s="36"/>
      <c r="J238" s="36"/>
      <c r="K238" s="36"/>
      <c r="L238" s="450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75" customHeight="1">
      <c r="A239" s="36"/>
      <c r="B239" s="432"/>
      <c r="C239" s="432"/>
      <c r="D239" s="446"/>
      <c r="F239" s="431"/>
      <c r="G239" s="432"/>
      <c r="H239" s="432"/>
      <c r="I239" s="36"/>
      <c r="J239" s="36"/>
      <c r="K239" s="36"/>
      <c r="L239" s="450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75" customHeight="1">
      <c r="A240" s="36"/>
      <c r="B240" s="432"/>
      <c r="C240" s="432"/>
      <c r="D240" s="446"/>
      <c r="F240" s="431"/>
      <c r="G240" s="432"/>
      <c r="H240" s="432"/>
      <c r="I240" s="36"/>
      <c r="J240" s="36"/>
      <c r="K240" s="36"/>
      <c r="L240" s="450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75" customHeight="1">
      <c r="A241" s="36"/>
      <c r="B241" s="432"/>
      <c r="C241" s="432"/>
      <c r="D241" s="446"/>
      <c r="F241" s="431"/>
      <c r="G241" s="432"/>
      <c r="H241" s="432"/>
      <c r="I241" s="36"/>
      <c r="J241" s="36"/>
      <c r="K241" s="36"/>
      <c r="L241" s="450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75" customHeight="1">
      <c r="A242" s="36"/>
      <c r="B242" s="432"/>
      <c r="C242" s="432"/>
      <c r="D242" s="446"/>
      <c r="F242" s="431"/>
      <c r="G242" s="432"/>
      <c r="H242" s="432"/>
      <c r="I242" s="36"/>
      <c r="J242" s="36"/>
      <c r="K242" s="36"/>
      <c r="L242" s="450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75" customHeight="1">
      <c r="A243" s="36"/>
      <c r="B243" s="432"/>
      <c r="C243" s="432"/>
      <c r="D243" s="446"/>
      <c r="F243" s="431"/>
      <c r="G243" s="432"/>
      <c r="H243" s="432"/>
      <c r="I243" s="36"/>
      <c r="J243" s="36"/>
      <c r="K243" s="36"/>
      <c r="L243" s="450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75" customHeight="1">
      <c r="A244" s="36"/>
      <c r="B244" s="432"/>
      <c r="C244" s="432"/>
      <c r="D244" s="446"/>
      <c r="F244" s="431"/>
      <c r="G244" s="432"/>
      <c r="H244" s="432"/>
      <c r="I244" s="36"/>
      <c r="J244" s="36"/>
      <c r="K244" s="36"/>
      <c r="L244" s="450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75" customHeight="1">
      <c r="A245" s="36"/>
      <c r="B245" s="432"/>
      <c r="C245" s="432"/>
      <c r="D245" s="446"/>
      <c r="F245" s="431"/>
      <c r="G245" s="432"/>
      <c r="H245" s="432"/>
      <c r="I245" s="36"/>
      <c r="J245" s="36"/>
      <c r="K245" s="36"/>
      <c r="L245" s="450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75" customHeight="1">
      <c r="A246" s="36"/>
      <c r="B246" s="432"/>
      <c r="C246" s="432"/>
      <c r="D246" s="446"/>
      <c r="F246" s="431"/>
      <c r="G246" s="434"/>
      <c r="H246" s="434"/>
      <c r="I246" s="36"/>
      <c r="J246" s="36"/>
      <c r="K246" s="36"/>
      <c r="L246" s="450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75" customHeight="1">
      <c r="A247" s="36"/>
      <c r="B247" s="432"/>
      <c r="C247" s="432"/>
      <c r="D247" s="446"/>
      <c r="F247" s="431"/>
      <c r="G247" s="432"/>
      <c r="H247" s="432"/>
      <c r="I247" s="36"/>
      <c r="J247" s="36"/>
      <c r="K247" s="36"/>
      <c r="L247" s="450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75" customHeight="1">
      <c r="A248" s="36"/>
      <c r="B248" s="432"/>
      <c r="C248" s="432"/>
      <c r="D248" s="446"/>
      <c r="F248" s="431"/>
      <c r="G248" s="432"/>
      <c r="H248" s="432"/>
      <c r="I248" s="36"/>
      <c r="J248" s="36"/>
      <c r="K248" s="36"/>
      <c r="L248" s="450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75" customHeight="1">
      <c r="A249" s="36"/>
      <c r="B249" s="432"/>
      <c r="C249" s="432"/>
      <c r="D249" s="446"/>
      <c r="F249" s="431"/>
      <c r="G249" s="432"/>
      <c r="H249" s="432"/>
      <c r="I249" s="36"/>
      <c r="J249" s="36"/>
      <c r="K249" s="36"/>
      <c r="L249" s="450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75" customHeight="1">
      <c r="A250" s="36"/>
      <c r="B250" s="432"/>
      <c r="C250" s="432"/>
      <c r="D250" s="446"/>
      <c r="F250" s="431"/>
      <c r="G250" s="432"/>
      <c r="H250" s="432"/>
      <c r="I250" s="36"/>
      <c r="J250" s="36"/>
      <c r="K250" s="36"/>
      <c r="L250" s="450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75" customHeight="1">
      <c r="A251" s="36"/>
      <c r="B251" s="432"/>
      <c r="C251" s="432"/>
      <c r="D251" s="446"/>
      <c r="F251" s="431"/>
      <c r="G251" s="432"/>
      <c r="H251" s="432"/>
      <c r="I251" s="36"/>
      <c r="J251" s="36"/>
      <c r="K251" s="36"/>
      <c r="L251" s="450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75" customHeight="1">
      <c r="A252" s="36"/>
      <c r="B252" s="432"/>
      <c r="C252" s="432"/>
      <c r="D252" s="446"/>
      <c r="F252" s="431"/>
      <c r="G252" s="432"/>
      <c r="H252" s="432"/>
      <c r="I252" s="36"/>
      <c r="J252" s="36"/>
      <c r="K252" s="36"/>
      <c r="L252" s="450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75" customHeight="1">
      <c r="A253" s="36"/>
      <c r="B253" s="432"/>
      <c r="C253" s="432"/>
      <c r="D253" s="446"/>
      <c r="F253" s="431"/>
      <c r="G253" s="432"/>
      <c r="H253" s="432"/>
      <c r="I253" s="36"/>
      <c r="J253" s="36"/>
      <c r="K253" s="36"/>
      <c r="L253" s="450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75" customHeight="1">
      <c r="A254" s="36"/>
      <c r="B254" s="432"/>
      <c r="C254" s="432"/>
      <c r="D254" s="446"/>
      <c r="F254" s="431"/>
      <c r="G254" s="432"/>
      <c r="H254" s="432"/>
      <c r="I254" s="36"/>
      <c r="J254" s="36"/>
      <c r="K254" s="36"/>
      <c r="L254" s="450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75" customHeight="1">
      <c r="A255" s="36"/>
      <c r="B255" s="432"/>
      <c r="C255" s="432"/>
      <c r="D255" s="446"/>
      <c r="I255" s="36"/>
      <c r="J255" s="36"/>
      <c r="K255" s="36"/>
      <c r="L255" s="450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75" customHeight="1">
      <c r="A256" s="36"/>
      <c r="B256" s="432"/>
      <c r="C256" s="432"/>
      <c r="D256" s="446"/>
      <c r="F256" s="431"/>
      <c r="G256" s="432"/>
      <c r="H256" s="432"/>
      <c r="I256" s="36"/>
      <c r="J256" s="36"/>
      <c r="K256" s="36"/>
      <c r="L256" s="450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75" customHeight="1">
      <c r="A257" s="36"/>
      <c r="B257" s="432"/>
      <c r="C257" s="432"/>
      <c r="D257" s="446"/>
      <c r="F257" s="431"/>
      <c r="G257" s="432"/>
      <c r="H257" s="432"/>
      <c r="I257" s="36"/>
      <c r="J257" s="36"/>
      <c r="K257" s="36"/>
      <c r="L257" s="450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75" customHeight="1">
      <c r="A258" s="36"/>
      <c r="B258" s="432"/>
      <c r="C258" s="432"/>
      <c r="D258" s="446"/>
      <c r="F258" s="431"/>
      <c r="G258" s="432"/>
      <c r="H258" s="432"/>
      <c r="I258" s="36"/>
      <c r="J258" s="36"/>
      <c r="K258" s="36"/>
      <c r="L258" s="450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75" customHeight="1">
      <c r="A259" s="36"/>
      <c r="B259" s="432"/>
      <c r="C259" s="432"/>
      <c r="D259" s="446"/>
      <c r="F259" s="431"/>
      <c r="G259" s="432"/>
      <c r="H259" s="432"/>
      <c r="I259" s="36"/>
      <c r="J259" s="36"/>
      <c r="K259" s="36"/>
      <c r="L259" s="450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75" customHeight="1">
      <c r="A260" s="36"/>
      <c r="B260" s="432"/>
      <c r="C260" s="432"/>
      <c r="D260" s="446"/>
      <c r="F260" s="431"/>
      <c r="G260" s="432"/>
      <c r="H260" s="432"/>
      <c r="I260" s="36"/>
      <c r="J260" s="36"/>
      <c r="K260" s="36"/>
      <c r="L260" s="450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75" customHeight="1">
      <c r="A261" s="36"/>
      <c r="B261" s="432"/>
      <c r="C261" s="432"/>
      <c r="D261" s="446"/>
      <c r="F261" s="431"/>
      <c r="G261" s="432"/>
      <c r="H261" s="432"/>
      <c r="I261" s="36"/>
      <c r="J261" s="36"/>
      <c r="K261" s="36"/>
      <c r="L261" s="450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75" customHeight="1">
      <c r="A262" s="36"/>
      <c r="B262" s="432"/>
      <c r="C262" s="432"/>
      <c r="D262" s="446"/>
      <c r="F262" s="431"/>
      <c r="G262" s="432"/>
      <c r="H262" s="432"/>
      <c r="I262" s="36"/>
      <c r="J262" s="36"/>
      <c r="K262" s="36"/>
      <c r="L262" s="450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75" customHeight="1">
      <c r="A263" s="36"/>
      <c r="B263" s="432"/>
      <c r="C263" s="432"/>
      <c r="D263" s="446"/>
      <c r="F263" s="431"/>
      <c r="G263" s="432"/>
      <c r="H263" s="432"/>
      <c r="I263" s="36"/>
      <c r="J263" s="36"/>
      <c r="K263" s="36"/>
      <c r="L263" s="450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75" customHeight="1">
      <c r="A264" s="36"/>
      <c r="B264" s="432"/>
      <c r="C264" s="432"/>
      <c r="D264" s="446"/>
      <c r="F264" s="431"/>
      <c r="G264" s="432"/>
      <c r="H264" s="432"/>
      <c r="I264" s="36"/>
      <c r="J264" s="36"/>
      <c r="K264" s="36"/>
      <c r="L264" s="450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75" customHeight="1">
      <c r="A265" s="36"/>
      <c r="B265" s="432"/>
      <c r="C265" s="432"/>
      <c r="D265" s="446"/>
      <c r="F265" s="431"/>
      <c r="G265" s="434"/>
      <c r="H265" s="434"/>
      <c r="I265" s="36"/>
      <c r="J265" s="36"/>
      <c r="K265" s="36"/>
      <c r="L265" s="450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75" customHeight="1">
      <c r="A266" s="36"/>
      <c r="B266" s="432"/>
      <c r="C266" s="432"/>
      <c r="D266" s="446"/>
      <c r="F266" s="431"/>
      <c r="G266" s="434"/>
      <c r="H266" s="434"/>
      <c r="I266" s="36"/>
      <c r="J266" s="36"/>
      <c r="K266" s="36"/>
      <c r="L266" s="450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75" customHeight="1">
      <c r="A267" s="36"/>
      <c r="B267" s="432"/>
      <c r="C267" s="432"/>
      <c r="D267" s="446"/>
      <c r="F267" s="431"/>
      <c r="G267" s="432"/>
      <c r="H267" s="432"/>
      <c r="I267" s="36"/>
      <c r="J267" s="36"/>
      <c r="K267" s="36"/>
      <c r="L267" s="450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75" customHeight="1">
      <c r="A268" s="36"/>
      <c r="B268" s="432"/>
      <c r="C268" s="432"/>
      <c r="D268" s="446"/>
      <c r="F268" s="431"/>
      <c r="G268" s="432"/>
      <c r="H268" s="432"/>
      <c r="I268" s="36"/>
      <c r="J268" s="36"/>
      <c r="K268" s="36"/>
      <c r="L268" s="450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75" customHeight="1">
      <c r="A269" s="36"/>
      <c r="B269" s="432"/>
      <c r="C269" s="432"/>
      <c r="D269" s="446"/>
      <c r="F269" s="431"/>
      <c r="G269" s="432"/>
      <c r="H269" s="432"/>
      <c r="I269" s="36"/>
      <c r="J269" s="36"/>
      <c r="K269" s="36"/>
      <c r="L269" s="450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75" customHeight="1">
      <c r="A270" s="36"/>
      <c r="B270" s="432"/>
      <c r="C270" s="432"/>
      <c r="D270" s="446"/>
      <c r="I270" s="36"/>
      <c r="J270" s="36"/>
      <c r="K270" s="36"/>
      <c r="L270" s="450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75" customHeight="1">
      <c r="A271" s="36"/>
      <c r="B271" s="432"/>
      <c r="C271" s="432"/>
      <c r="D271" s="446"/>
      <c r="F271" s="431"/>
      <c r="G271" s="432"/>
      <c r="H271" s="432"/>
      <c r="I271" s="36"/>
      <c r="J271" s="36"/>
      <c r="K271" s="36"/>
      <c r="L271" s="450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75" customHeight="1">
      <c r="A272" s="36"/>
      <c r="B272" s="432"/>
      <c r="C272" s="432"/>
      <c r="D272" s="446"/>
      <c r="F272" s="431"/>
      <c r="G272" s="432"/>
      <c r="H272" s="432"/>
      <c r="I272" s="36"/>
      <c r="J272" s="36"/>
      <c r="K272" s="36"/>
      <c r="L272" s="450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75" customHeight="1">
      <c r="A273" s="36"/>
      <c r="B273" s="432"/>
      <c r="C273" s="432"/>
      <c r="D273" s="446"/>
      <c r="F273" s="431"/>
      <c r="G273" s="434"/>
      <c r="H273" s="434"/>
      <c r="I273" s="36"/>
      <c r="J273" s="36"/>
      <c r="K273" s="36"/>
      <c r="L273" s="450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75" customHeight="1">
      <c r="A274" s="36"/>
      <c r="B274" s="432"/>
      <c r="C274" s="432"/>
      <c r="D274" s="446"/>
      <c r="F274" s="431"/>
      <c r="G274" s="432"/>
      <c r="H274" s="432"/>
      <c r="I274" s="36"/>
      <c r="J274" s="36"/>
      <c r="K274" s="36"/>
      <c r="L274" s="450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75" customHeight="1">
      <c r="A275" s="36"/>
      <c r="B275" s="432"/>
      <c r="C275" s="432"/>
      <c r="D275" s="446"/>
      <c r="F275" s="431"/>
      <c r="G275" s="432"/>
      <c r="H275" s="432"/>
      <c r="I275" s="36"/>
      <c r="J275" s="36"/>
      <c r="K275" s="36"/>
      <c r="L275" s="450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75" customHeight="1">
      <c r="A276" s="36"/>
      <c r="B276" s="432"/>
      <c r="C276" s="432"/>
      <c r="D276" s="446"/>
      <c r="E276" s="36"/>
      <c r="F276" s="36"/>
      <c r="G276" s="432"/>
      <c r="H276" s="432"/>
      <c r="I276" s="36"/>
      <c r="J276" s="36"/>
      <c r="K276" s="36"/>
      <c r="L276" s="450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75" customHeight="1">
      <c r="A277" s="36"/>
      <c r="B277" s="432"/>
      <c r="C277" s="432"/>
      <c r="D277" s="446"/>
      <c r="E277" s="36"/>
      <c r="F277" s="36"/>
      <c r="G277" s="432"/>
      <c r="H277" s="432"/>
      <c r="I277" s="36"/>
      <c r="J277" s="36"/>
      <c r="K277" s="36"/>
      <c r="L277" s="450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75" customHeight="1">
      <c r="A278" s="36"/>
      <c r="B278" s="432"/>
      <c r="C278" s="432"/>
      <c r="D278" s="446"/>
      <c r="E278" s="36"/>
      <c r="F278" s="36"/>
      <c r="G278" s="432"/>
      <c r="H278" s="432"/>
      <c r="I278" s="36"/>
      <c r="J278" s="36"/>
      <c r="K278" s="36"/>
      <c r="L278" s="450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75" customHeight="1">
      <c r="A279" s="36"/>
      <c r="B279" s="432"/>
      <c r="C279" s="432"/>
      <c r="D279" s="446"/>
      <c r="E279" s="36"/>
      <c r="F279" s="36"/>
      <c r="G279" s="432"/>
      <c r="H279" s="432"/>
      <c r="I279" s="36"/>
      <c r="J279" s="36"/>
      <c r="K279" s="36"/>
      <c r="L279" s="450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75" customHeight="1">
      <c r="A280" s="36"/>
      <c r="B280" s="432"/>
      <c r="C280" s="432"/>
      <c r="D280" s="446"/>
      <c r="E280" s="36"/>
      <c r="F280" s="36"/>
      <c r="G280" s="432"/>
      <c r="H280" s="432"/>
      <c r="I280" s="36"/>
      <c r="J280" s="36"/>
      <c r="K280" s="36"/>
      <c r="L280" s="450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75" customHeight="1">
      <c r="A281" s="36"/>
      <c r="B281" s="432"/>
      <c r="C281" s="432"/>
      <c r="D281" s="446"/>
      <c r="E281" s="36"/>
      <c r="F281" s="36"/>
      <c r="G281" s="432"/>
      <c r="H281" s="432"/>
      <c r="I281" s="36"/>
      <c r="J281" s="36"/>
      <c r="K281" s="36"/>
      <c r="L281" s="450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75" customHeight="1">
      <c r="A282" s="36"/>
      <c r="B282" s="432"/>
      <c r="C282" s="432"/>
      <c r="D282" s="446"/>
      <c r="E282" s="36"/>
      <c r="F282" s="36"/>
      <c r="G282" s="432"/>
      <c r="H282" s="432"/>
      <c r="I282" s="36"/>
      <c r="J282" s="36"/>
      <c r="K282" s="36"/>
      <c r="L282" s="450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75" customHeight="1">
      <c r="A283" s="36"/>
      <c r="B283" s="432"/>
      <c r="C283" s="432"/>
      <c r="D283" s="446"/>
      <c r="E283" s="36"/>
      <c r="F283" s="36"/>
      <c r="G283" s="432"/>
      <c r="H283" s="432"/>
      <c r="I283" s="36"/>
      <c r="J283" s="36"/>
      <c r="K283" s="36"/>
      <c r="L283" s="450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75" customHeight="1">
      <c r="A284" s="36"/>
      <c r="B284" s="432"/>
      <c r="C284" s="432"/>
      <c r="D284" s="446"/>
      <c r="E284" s="36"/>
      <c r="F284" s="36"/>
      <c r="G284" s="432"/>
      <c r="H284" s="432"/>
      <c r="I284" s="36"/>
      <c r="J284" s="36"/>
      <c r="K284" s="36"/>
      <c r="L284" s="450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75" customHeight="1">
      <c r="A285" s="36"/>
      <c r="B285" s="432"/>
      <c r="C285" s="432"/>
      <c r="D285" s="446"/>
      <c r="E285" s="36"/>
      <c r="F285" s="36"/>
      <c r="G285" s="432"/>
      <c r="H285" s="432"/>
      <c r="I285" s="36"/>
      <c r="J285" s="36"/>
      <c r="K285" s="36"/>
      <c r="L285" s="450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75" customHeight="1">
      <c r="A286" s="36"/>
      <c r="B286" s="432"/>
      <c r="C286" s="432"/>
      <c r="D286" s="446"/>
      <c r="E286" s="36"/>
      <c r="F286" s="36"/>
      <c r="G286" s="432"/>
      <c r="H286" s="432"/>
      <c r="I286" s="36"/>
      <c r="J286" s="36"/>
      <c r="K286" s="36"/>
      <c r="L286" s="450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75" customHeight="1">
      <c r="A287" s="36"/>
      <c r="B287" s="432"/>
      <c r="C287" s="432"/>
      <c r="D287" s="446"/>
      <c r="E287" s="36"/>
      <c r="F287" s="36"/>
      <c r="G287" s="432"/>
      <c r="H287" s="432"/>
      <c r="I287" s="36"/>
      <c r="J287" s="36"/>
      <c r="K287" s="36"/>
      <c r="L287" s="450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75" customHeight="1">
      <c r="A288" s="36"/>
      <c r="B288" s="432"/>
      <c r="C288" s="432"/>
      <c r="D288" s="446"/>
      <c r="E288" s="36"/>
      <c r="F288" s="36"/>
      <c r="G288" s="432"/>
      <c r="H288" s="432"/>
      <c r="I288" s="36"/>
      <c r="J288" s="36"/>
      <c r="K288" s="36"/>
      <c r="L288" s="450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75" customHeight="1">
      <c r="A289" s="36"/>
      <c r="B289" s="432"/>
      <c r="C289" s="432"/>
      <c r="D289" s="446"/>
      <c r="E289" s="36"/>
      <c r="F289" s="36"/>
      <c r="G289" s="432"/>
      <c r="H289" s="432"/>
      <c r="I289" s="36"/>
      <c r="J289" s="36"/>
      <c r="K289" s="36"/>
      <c r="L289" s="450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75" customHeight="1">
      <c r="A290" s="36"/>
      <c r="B290" s="432"/>
      <c r="C290" s="432"/>
      <c r="D290" s="446"/>
      <c r="E290" s="36"/>
      <c r="F290" s="36"/>
      <c r="G290" s="432"/>
      <c r="H290" s="432"/>
      <c r="I290" s="36"/>
      <c r="J290" s="36"/>
      <c r="K290" s="36"/>
      <c r="L290" s="450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75" customHeight="1">
      <c r="A291" s="36"/>
      <c r="B291" s="432"/>
      <c r="C291" s="432"/>
      <c r="D291" s="446"/>
      <c r="E291" s="36"/>
      <c r="F291" s="36"/>
      <c r="G291" s="432"/>
      <c r="H291" s="432"/>
      <c r="I291" s="36"/>
      <c r="J291" s="36"/>
      <c r="K291" s="36"/>
      <c r="L291" s="450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75" customHeight="1">
      <c r="A292" s="36"/>
      <c r="B292" s="432"/>
      <c r="C292" s="432"/>
      <c r="D292" s="446"/>
      <c r="E292" s="36"/>
      <c r="F292" s="36"/>
      <c r="G292" s="432"/>
      <c r="H292" s="432"/>
      <c r="I292" s="36"/>
      <c r="J292" s="36"/>
      <c r="K292" s="36"/>
      <c r="L292" s="450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75" customHeight="1">
      <c r="A293" s="36"/>
      <c r="B293" s="432"/>
      <c r="C293" s="432"/>
      <c r="D293" s="446"/>
      <c r="E293" s="36"/>
      <c r="F293" s="36"/>
      <c r="G293" s="432"/>
      <c r="H293" s="432"/>
      <c r="I293" s="36"/>
      <c r="J293" s="36"/>
      <c r="K293" s="36"/>
      <c r="L293" s="450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75" customHeight="1">
      <c r="A294" s="36"/>
      <c r="B294" s="432"/>
      <c r="C294" s="432"/>
      <c r="D294" s="446"/>
      <c r="E294" s="36"/>
      <c r="F294" s="36"/>
      <c r="G294" s="432"/>
      <c r="H294" s="432"/>
      <c r="I294" s="36"/>
      <c r="J294" s="36"/>
      <c r="K294" s="36"/>
      <c r="L294" s="450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75" customHeight="1">
      <c r="A295" s="36"/>
      <c r="B295" s="432"/>
      <c r="C295" s="432"/>
      <c r="D295" s="446"/>
      <c r="E295" s="36"/>
      <c r="F295" s="36"/>
      <c r="G295" s="432"/>
      <c r="H295" s="432"/>
      <c r="I295" s="36"/>
      <c r="J295" s="36"/>
      <c r="K295" s="36"/>
      <c r="L295" s="450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75" customHeight="1">
      <c r="A296" s="36"/>
      <c r="B296" s="432"/>
      <c r="C296" s="432"/>
      <c r="D296" s="446"/>
      <c r="E296" s="36"/>
      <c r="F296" s="36"/>
      <c r="G296" s="432"/>
      <c r="H296" s="432"/>
      <c r="I296" s="36"/>
      <c r="J296" s="36"/>
      <c r="K296" s="36"/>
      <c r="L296" s="450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75" customHeight="1">
      <c r="A297" s="36"/>
      <c r="B297" s="432"/>
      <c r="C297" s="432"/>
      <c r="D297" s="446"/>
      <c r="E297" s="36"/>
      <c r="F297" s="36"/>
      <c r="G297" s="432"/>
      <c r="H297" s="432"/>
      <c r="I297" s="36"/>
      <c r="J297" s="36"/>
      <c r="K297" s="36"/>
      <c r="L297" s="450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75" customHeight="1">
      <c r="A298" s="36"/>
      <c r="B298" s="432"/>
      <c r="C298" s="432"/>
      <c r="D298" s="446"/>
      <c r="E298" s="36"/>
      <c r="F298" s="36"/>
      <c r="G298" s="432"/>
      <c r="H298" s="432"/>
      <c r="I298" s="36"/>
      <c r="J298" s="36"/>
      <c r="K298" s="36"/>
      <c r="L298" s="450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75" customHeight="1">
      <c r="A299" s="36"/>
      <c r="B299" s="432"/>
      <c r="C299" s="432"/>
      <c r="D299" s="446"/>
      <c r="E299" s="36"/>
      <c r="F299" s="36"/>
      <c r="G299" s="432"/>
      <c r="H299" s="432"/>
      <c r="I299" s="36"/>
      <c r="J299" s="36"/>
      <c r="K299" s="36"/>
      <c r="L299" s="450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75" customHeight="1">
      <c r="A300" s="36"/>
      <c r="B300" s="432"/>
      <c r="C300" s="432"/>
      <c r="D300" s="446"/>
      <c r="E300" s="36"/>
      <c r="F300" s="36"/>
      <c r="G300" s="432"/>
      <c r="H300" s="432"/>
      <c r="I300" s="36"/>
      <c r="J300" s="36"/>
      <c r="K300" s="36"/>
      <c r="L300" s="450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75" customHeight="1">
      <c r="A301" s="36"/>
      <c r="B301" s="432"/>
      <c r="C301" s="432"/>
      <c r="D301" s="446"/>
      <c r="E301" s="36"/>
      <c r="F301" s="36"/>
      <c r="G301" s="432"/>
      <c r="H301" s="432"/>
      <c r="I301" s="36"/>
      <c r="J301" s="36"/>
      <c r="K301" s="36"/>
      <c r="L301" s="450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75" customHeight="1">
      <c r="A302" s="36"/>
      <c r="B302" s="432"/>
      <c r="C302" s="432"/>
      <c r="D302" s="446"/>
      <c r="E302" s="36"/>
      <c r="F302" s="36"/>
      <c r="G302" s="432"/>
      <c r="H302" s="432"/>
      <c r="I302" s="36"/>
      <c r="J302" s="36"/>
      <c r="K302" s="36"/>
      <c r="L302" s="450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75" customHeight="1">
      <c r="A303" s="36"/>
      <c r="B303" s="432"/>
      <c r="C303" s="432"/>
      <c r="D303" s="446"/>
      <c r="E303" s="36"/>
      <c r="F303" s="36"/>
      <c r="G303" s="432"/>
      <c r="H303" s="432"/>
      <c r="I303" s="36"/>
      <c r="J303" s="36"/>
      <c r="K303" s="36"/>
      <c r="L303" s="450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75" customHeight="1">
      <c r="A304" s="36"/>
      <c r="B304" s="432"/>
      <c r="C304" s="432"/>
      <c r="D304" s="446"/>
      <c r="E304" s="36"/>
      <c r="F304" s="36"/>
      <c r="G304" s="432"/>
      <c r="H304" s="432"/>
      <c r="I304" s="36"/>
      <c r="J304" s="36"/>
      <c r="K304" s="36"/>
      <c r="L304" s="450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75" customHeight="1">
      <c r="A305" s="36"/>
      <c r="B305" s="432"/>
      <c r="C305" s="432"/>
      <c r="D305" s="446"/>
      <c r="E305" s="36"/>
      <c r="F305" s="36"/>
      <c r="G305" s="432"/>
      <c r="H305" s="432"/>
      <c r="I305" s="36"/>
      <c r="J305" s="36"/>
      <c r="K305" s="36"/>
      <c r="L305" s="450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75" customHeight="1">
      <c r="A306" s="36"/>
      <c r="B306" s="432"/>
      <c r="C306" s="432"/>
      <c r="D306" s="446"/>
      <c r="E306" s="36"/>
      <c r="F306" s="36"/>
      <c r="G306" s="432"/>
      <c r="H306" s="432"/>
      <c r="I306" s="36"/>
      <c r="J306" s="36"/>
      <c r="K306" s="36"/>
      <c r="L306" s="450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75" customHeight="1">
      <c r="A307" s="36"/>
      <c r="B307" s="432"/>
      <c r="C307" s="432"/>
      <c r="D307" s="446"/>
      <c r="E307" s="36"/>
      <c r="F307" s="36"/>
      <c r="G307" s="432"/>
      <c r="H307" s="432"/>
      <c r="I307" s="36"/>
      <c r="J307" s="36"/>
      <c r="K307" s="36"/>
      <c r="L307" s="450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75" customHeight="1">
      <c r="A308" s="36"/>
      <c r="B308" s="432"/>
      <c r="C308" s="432"/>
      <c r="D308" s="446"/>
      <c r="E308" s="36"/>
      <c r="F308" s="36"/>
      <c r="G308" s="432"/>
      <c r="H308" s="432"/>
      <c r="I308" s="36"/>
      <c r="J308" s="36"/>
      <c r="K308" s="36"/>
      <c r="L308" s="450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75" customHeight="1">
      <c r="A309" s="36"/>
      <c r="B309" s="432"/>
      <c r="C309" s="432"/>
      <c r="D309" s="446"/>
      <c r="E309" s="36"/>
      <c r="F309" s="36"/>
      <c r="G309" s="432"/>
      <c r="H309" s="432"/>
      <c r="I309" s="36"/>
      <c r="J309" s="36"/>
      <c r="K309" s="36"/>
      <c r="L309" s="450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75" customHeight="1">
      <c r="A310" s="36"/>
      <c r="B310" s="432"/>
      <c r="C310" s="432"/>
      <c r="D310" s="446"/>
      <c r="E310" s="36"/>
      <c r="F310" s="36"/>
      <c r="G310" s="432"/>
      <c r="H310" s="432"/>
      <c r="I310" s="36"/>
      <c r="J310" s="36"/>
      <c r="K310" s="36"/>
      <c r="L310" s="450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75" customHeight="1">
      <c r="A311" s="36"/>
      <c r="B311" s="432"/>
      <c r="C311" s="432"/>
      <c r="D311" s="446"/>
      <c r="E311" s="36"/>
      <c r="F311" s="36"/>
      <c r="G311" s="432"/>
      <c r="H311" s="432"/>
      <c r="I311" s="36"/>
      <c r="J311" s="36"/>
      <c r="K311" s="36"/>
      <c r="L311" s="450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75" customHeight="1">
      <c r="A312" s="36"/>
      <c r="B312" s="432"/>
      <c r="C312" s="432"/>
      <c r="D312" s="446"/>
      <c r="E312" s="36"/>
      <c r="F312" s="36"/>
      <c r="G312" s="432"/>
      <c r="H312" s="432"/>
      <c r="I312" s="36"/>
      <c r="J312" s="36"/>
      <c r="K312" s="36"/>
      <c r="L312" s="450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75" customHeight="1">
      <c r="A313" s="36"/>
      <c r="B313" s="432"/>
      <c r="C313" s="432"/>
      <c r="D313" s="446"/>
      <c r="E313" s="36"/>
      <c r="F313" s="36"/>
      <c r="G313" s="432"/>
      <c r="H313" s="432"/>
      <c r="I313" s="36"/>
      <c r="J313" s="36"/>
      <c r="K313" s="36"/>
      <c r="L313" s="450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75" customHeight="1">
      <c r="A314" s="36"/>
      <c r="B314" s="432"/>
      <c r="C314" s="432"/>
      <c r="D314" s="446"/>
      <c r="E314" s="36"/>
      <c r="F314" s="36"/>
      <c r="G314" s="432"/>
      <c r="H314" s="432"/>
      <c r="I314" s="36"/>
      <c r="J314" s="36"/>
      <c r="K314" s="36"/>
      <c r="L314" s="450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75" customHeight="1">
      <c r="A315" s="36"/>
      <c r="B315" s="432"/>
      <c r="C315" s="432"/>
      <c r="D315" s="446"/>
      <c r="E315" s="36"/>
      <c r="F315" s="36"/>
      <c r="G315" s="432"/>
      <c r="H315" s="432"/>
      <c r="I315" s="36"/>
      <c r="J315" s="36"/>
      <c r="K315" s="36"/>
      <c r="L315" s="450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75" customHeight="1">
      <c r="A316" s="36"/>
      <c r="B316" s="432"/>
      <c r="C316" s="432"/>
      <c r="D316" s="446"/>
      <c r="E316" s="36"/>
      <c r="F316" s="36"/>
      <c r="G316" s="432"/>
      <c r="H316" s="432"/>
      <c r="I316" s="36"/>
      <c r="J316" s="36"/>
      <c r="K316" s="36"/>
      <c r="L316" s="450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75" customHeight="1">
      <c r="A317" s="36"/>
      <c r="B317" s="432"/>
      <c r="C317" s="432"/>
      <c r="D317" s="446"/>
      <c r="E317" s="36"/>
      <c r="F317" s="36"/>
      <c r="G317" s="432"/>
      <c r="H317" s="432"/>
      <c r="I317" s="36"/>
      <c r="J317" s="36"/>
      <c r="K317" s="36"/>
      <c r="L317" s="450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75" customHeight="1">
      <c r="A318" s="36"/>
      <c r="B318" s="432"/>
      <c r="C318" s="432"/>
      <c r="D318" s="446"/>
      <c r="E318" s="36"/>
      <c r="F318" s="36"/>
      <c r="G318" s="432"/>
      <c r="H318" s="432"/>
      <c r="I318" s="36"/>
      <c r="J318" s="36"/>
      <c r="K318" s="36"/>
      <c r="L318" s="450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75" customHeight="1">
      <c r="A319" s="36"/>
      <c r="B319" s="432"/>
      <c r="C319" s="432"/>
      <c r="D319" s="446"/>
      <c r="E319" s="36"/>
      <c r="F319" s="36"/>
      <c r="G319" s="432"/>
      <c r="H319" s="432"/>
      <c r="I319" s="36"/>
      <c r="J319" s="36"/>
      <c r="K319" s="36"/>
      <c r="L319" s="450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75" customHeight="1">
      <c r="A320" s="36"/>
      <c r="B320" s="432"/>
      <c r="C320" s="432"/>
      <c r="D320" s="446"/>
      <c r="E320" s="36"/>
      <c r="F320" s="36"/>
      <c r="G320" s="432"/>
      <c r="H320" s="432"/>
      <c r="I320" s="36"/>
      <c r="J320" s="36"/>
      <c r="K320" s="36"/>
      <c r="L320" s="450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75" customHeight="1">
      <c r="A321" s="36"/>
      <c r="B321" s="432"/>
      <c r="C321" s="432"/>
      <c r="D321" s="446"/>
      <c r="E321" s="36"/>
      <c r="F321" s="36"/>
      <c r="G321" s="432"/>
      <c r="H321" s="432"/>
      <c r="I321" s="36"/>
      <c r="J321" s="36"/>
      <c r="K321" s="36"/>
      <c r="L321" s="450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75" customHeight="1">
      <c r="A322" s="36"/>
      <c r="B322" s="432"/>
      <c r="C322" s="432"/>
      <c r="D322" s="446"/>
      <c r="E322" s="36"/>
      <c r="F322" s="36"/>
      <c r="G322" s="432"/>
      <c r="H322" s="432"/>
      <c r="I322" s="36"/>
      <c r="J322" s="36"/>
      <c r="K322" s="36"/>
      <c r="L322" s="450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75" customHeight="1">
      <c r="A323" s="36"/>
      <c r="B323" s="432"/>
      <c r="C323" s="432"/>
      <c r="D323" s="446"/>
      <c r="E323" s="36"/>
      <c r="F323" s="36"/>
      <c r="G323" s="432"/>
      <c r="H323" s="432"/>
      <c r="I323" s="36"/>
      <c r="J323" s="36"/>
      <c r="K323" s="36"/>
      <c r="L323" s="450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75" customHeight="1">
      <c r="A324" s="36"/>
      <c r="B324" s="432"/>
      <c r="C324" s="432"/>
      <c r="D324" s="446"/>
      <c r="E324" s="36"/>
      <c r="F324" s="36"/>
      <c r="G324" s="432"/>
      <c r="H324" s="432"/>
      <c r="I324" s="36"/>
      <c r="J324" s="36"/>
      <c r="K324" s="36"/>
      <c r="L324" s="450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75" customHeight="1">
      <c r="A325" s="36"/>
      <c r="B325" s="432"/>
      <c r="C325" s="432"/>
      <c r="D325" s="446"/>
      <c r="E325" s="36"/>
      <c r="F325" s="36"/>
      <c r="G325" s="432"/>
      <c r="H325" s="432"/>
      <c r="I325" s="36"/>
      <c r="J325" s="36"/>
      <c r="K325" s="36"/>
      <c r="L325" s="450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75" customHeight="1">
      <c r="A326" s="36"/>
      <c r="B326" s="432"/>
      <c r="C326" s="432"/>
      <c r="D326" s="446"/>
      <c r="E326" s="36"/>
      <c r="F326" s="36"/>
      <c r="G326" s="432"/>
      <c r="H326" s="432"/>
      <c r="I326" s="36"/>
      <c r="J326" s="36"/>
      <c r="K326" s="36"/>
      <c r="L326" s="450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75" customHeight="1">
      <c r="A327" s="36"/>
      <c r="B327" s="432"/>
      <c r="C327" s="432"/>
      <c r="D327" s="446"/>
      <c r="E327" s="36"/>
      <c r="F327" s="36"/>
      <c r="G327" s="432"/>
      <c r="H327" s="432"/>
      <c r="I327" s="36"/>
      <c r="J327" s="36"/>
      <c r="K327" s="36"/>
      <c r="L327" s="450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75" customHeight="1">
      <c r="A328" s="36"/>
      <c r="B328" s="432"/>
      <c r="C328" s="432"/>
      <c r="D328" s="446"/>
      <c r="E328" s="36"/>
      <c r="F328" s="36"/>
      <c r="G328" s="432"/>
      <c r="H328" s="432"/>
      <c r="I328" s="36"/>
      <c r="J328" s="36"/>
      <c r="K328" s="36"/>
      <c r="L328" s="450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75" customHeight="1">
      <c r="A329" s="36"/>
      <c r="B329" s="432"/>
      <c r="C329" s="432"/>
      <c r="D329" s="446"/>
      <c r="E329" s="36"/>
      <c r="F329" s="36"/>
      <c r="G329" s="432"/>
      <c r="H329" s="432"/>
      <c r="I329" s="36"/>
      <c r="J329" s="36"/>
      <c r="K329" s="36"/>
      <c r="L329" s="450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75" customHeight="1">
      <c r="A330" s="36"/>
      <c r="B330" s="432"/>
      <c r="C330" s="432"/>
      <c r="D330" s="446"/>
      <c r="E330" s="36"/>
      <c r="F330" s="36"/>
      <c r="G330" s="432"/>
      <c r="H330" s="432"/>
      <c r="I330" s="36"/>
      <c r="J330" s="36"/>
      <c r="K330" s="36"/>
      <c r="L330" s="450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75" customHeight="1">
      <c r="A331" s="36"/>
      <c r="B331" s="432"/>
      <c r="C331" s="432"/>
      <c r="D331" s="446"/>
      <c r="E331" s="36"/>
      <c r="F331" s="36"/>
      <c r="G331" s="432"/>
      <c r="H331" s="432"/>
      <c r="I331" s="36"/>
      <c r="J331" s="36"/>
      <c r="K331" s="36"/>
      <c r="L331" s="450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75" customHeight="1">
      <c r="A332" s="36"/>
      <c r="B332" s="432"/>
      <c r="C332" s="432"/>
      <c r="D332" s="446"/>
      <c r="E332" s="36"/>
      <c r="F332" s="36"/>
      <c r="G332" s="432"/>
      <c r="H332" s="432"/>
      <c r="I332" s="36"/>
      <c r="J332" s="36"/>
      <c r="K332" s="36"/>
      <c r="L332" s="450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75" customHeight="1">
      <c r="A333" s="36"/>
      <c r="B333" s="432"/>
      <c r="C333" s="432"/>
      <c r="D333" s="446"/>
      <c r="E333" s="36"/>
      <c r="F333" s="36"/>
      <c r="G333" s="432"/>
      <c r="H333" s="432"/>
      <c r="I333" s="36"/>
      <c r="J333" s="36"/>
      <c r="K333" s="36"/>
      <c r="L333" s="450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75" customHeight="1">
      <c r="A334" s="36"/>
      <c r="B334" s="432"/>
      <c r="C334" s="432"/>
      <c r="D334" s="446"/>
      <c r="E334" s="36"/>
      <c r="F334" s="36"/>
      <c r="G334" s="432"/>
      <c r="H334" s="432"/>
      <c r="I334" s="36"/>
      <c r="J334" s="36"/>
      <c r="K334" s="36"/>
      <c r="L334" s="450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75" customHeight="1">
      <c r="A335" s="36"/>
      <c r="B335" s="432"/>
      <c r="C335" s="432"/>
      <c r="D335" s="446"/>
      <c r="E335" s="36"/>
      <c r="F335" s="36"/>
      <c r="G335" s="432"/>
      <c r="H335" s="432"/>
      <c r="I335" s="36"/>
      <c r="J335" s="36"/>
      <c r="K335" s="36"/>
      <c r="L335" s="450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75" customHeight="1">
      <c r="A336" s="36"/>
      <c r="B336" s="432"/>
      <c r="C336" s="432"/>
      <c r="D336" s="446"/>
      <c r="E336" s="36"/>
      <c r="F336" s="36"/>
      <c r="G336" s="432"/>
      <c r="H336" s="432"/>
      <c r="I336" s="36"/>
      <c r="J336" s="36"/>
      <c r="K336" s="36"/>
      <c r="L336" s="450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75" customHeight="1">
      <c r="A337" s="36"/>
      <c r="B337" s="432"/>
      <c r="C337" s="432"/>
      <c r="D337" s="446"/>
      <c r="E337" s="36"/>
      <c r="F337" s="36"/>
      <c r="G337" s="432"/>
      <c r="H337" s="432"/>
      <c r="I337" s="36"/>
      <c r="J337" s="36"/>
      <c r="K337" s="36"/>
      <c r="L337" s="450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75" customHeight="1">
      <c r="A338" s="36"/>
      <c r="B338" s="432"/>
      <c r="C338" s="432"/>
      <c r="D338" s="446"/>
      <c r="E338" s="36"/>
      <c r="F338" s="36"/>
      <c r="G338" s="432"/>
      <c r="H338" s="432"/>
      <c r="I338" s="36"/>
      <c r="J338" s="36"/>
      <c r="K338" s="36"/>
      <c r="L338" s="450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75" customHeight="1">
      <c r="A339" s="36"/>
      <c r="B339" s="432"/>
      <c r="C339" s="432"/>
      <c r="D339" s="446"/>
      <c r="E339" s="36"/>
      <c r="F339" s="36"/>
      <c r="G339" s="432"/>
      <c r="H339" s="432"/>
      <c r="I339" s="36"/>
      <c r="J339" s="36"/>
      <c r="K339" s="36"/>
      <c r="L339" s="450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75" customHeight="1">
      <c r="A340" s="36"/>
      <c r="B340" s="432"/>
      <c r="C340" s="432"/>
      <c r="D340" s="446"/>
      <c r="E340" s="36"/>
      <c r="F340" s="36"/>
      <c r="G340" s="432"/>
      <c r="H340" s="432"/>
      <c r="I340" s="36"/>
      <c r="J340" s="36"/>
      <c r="K340" s="36"/>
      <c r="L340" s="450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75" customHeight="1">
      <c r="A341" s="36"/>
      <c r="B341" s="432"/>
      <c r="C341" s="432"/>
      <c r="D341" s="446"/>
      <c r="E341" s="36"/>
      <c r="F341" s="36"/>
      <c r="G341" s="432"/>
      <c r="H341" s="432"/>
      <c r="I341" s="36"/>
      <c r="J341" s="36"/>
      <c r="K341" s="36"/>
      <c r="L341" s="450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75" customHeight="1">
      <c r="A342" s="36"/>
      <c r="B342" s="432"/>
      <c r="C342" s="432"/>
      <c r="D342" s="446"/>
      <c r="E342" s="36"/>
      <c r="F342" s="36"/>
      <c r="G342" s="432"/>
      <c r="H342" s="432"/>
      <c r="I342" s="36"/>
      <c r="J342" s="36"/>
      <c r="K342" s="36"/>
      <c r="L342" s="450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75" customHeight="1">
      <c r="A343" s="36"/>
      <c r="B343" s="432"/>
      <c r="C343" s="432"/>
      <c r="D343" s="446"/>
      <c r="E343" s="36"/>
      <c r="F343" s="36"/>
      <c r="G343" s="432"/>
      <c r="H343" s="432"/>
      <c r="I343" s="36"/>
      <c r="J343" s="36"/>
      <c r="K343" s="36"/>
      <c r="L343" s="450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75" customHeight="1">
      <c r="A344" s="36"/>
      <c r="B344" s="432"/>
      <c r="C344" s="432"/>
      <c r="D344" s="446"/>
      <c r="E344" s="36"/>
      <c r="F344" s="36"/>
      <c r="G344" s="432"/>
      <c r="H344" s="432"/>
      <c r="I344" s="36"/>
      <c r="J344" s="36"/>
      <c r="K344" s="36"/>
      <c r="L344" s="450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75" customHeight="1">
      <c r="A345" s="36"/>
      <c r="B345" s="432"/>
      <c r="C345" s="432"/>
      <c r="D345" s="446"/>
      <c r="E345" s="36"/>
      <c r="F345" s="36"/>
      <c r="G345" s="432"/>
      <c r="H345" s="432"/>
      <c r="I345" s="36"/>
      <c r="J345" s="36"/>
      <c r="K345" s="36"/>
      <c r="L345" s="450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75" customHeight="1">
      <c r="A346" s="36"/>
      <c r="B346" s="432"/>
      <c r="C346" s="432"/>
      <c r="D346" s="446"/>
      <c r="E346" s="36"/>
      <c r="F346" s="36"/>
      <c r="G346" s="432"/>
      <c r="H346" s="432"/>
      <c r="I346" s="36"/>
      <c r="J346" s="36"/>
      <c r="K346" s="36"/>
      <c r="L346" s="450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75" customHeight="1">
      <c r="A347" s="36"/>
      <c r="B347" s="432"/>
      <c r="C347" s="432"/>
      <c r="D347" s="446"/>
      <c r="E347" s="36"/>
      <c r="F347" s="36"/>
      <c r="G347" s="432"/>
      <c r="H347" s="432"/>
      <c r="I347" s="36"/>
      <c r="J347" s="36"/>
      <c r="K347" s="36"/>
      <c r="L347" s="450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75" customHeight="1">
      <c r="A348" s="36"/>
      <c r="B348" s="432"/>
      <c r="C348" s="432"/>
      <c r="D348" s="446"/>
      <c r="E348" s="36"/>
      <c r="F348" s="36"/>
      <c r="G348" s="432"/>
      <c r="H348" s="432"/>
      <c r="I348" s="36"/>
      <c r="J348" s="36"/>
      <c r="K348" s="36"/>
      <c r="L348" s="450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75" customHeight="1">
      <c r="A349" s="36"/>
      <c r="B349" s="432"/>
      <c r="C349" s="432"/>
      <c r="D349" s="446"/>
      <c r="E349" s="36"/>
      <c r="F349" s="36"/>
      <c r="G349" s="432"/>
      <c r="H349" s="432"/>
      <c r="I349" s="36"/>
      <c r="J349" s="36"/>
      <c r="K349" s="36"/>
      <c r="L349" s="450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75" customHeight="1">
      <c r="A350" s="36"/>
      <c r="B350" s="432"/>
      <c r="C350" s="432"/>
      <c r="D350" s="446"/>
      <c r="E350" s="36"/>
      <c r="F350" s="36"/>
      <c r="G350" s="432"/>
      <c r="H350" s="432"/>
      <c r="I350" s="36"/>
      <c r="J350" s="36"/>
      <c r="K350" s="36"/>
      <c r="L350" s="450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75" customHeight="1">
      <c r="A351" s="36"/>
      <c r="B351" s="432"/>
      <c r="C351" s="432"/>
      <c r="D351" s="446"/>
      <c r="E351" s="36"/>
      <c r="F351" s="36"/>
      <c r="G351" s="432"/>
      <c r="H351" s="432"/>
      <c r="I351" s="36"/>
      <c r="J351" s="36"/>
      <c r="K351" s="36"/>
      <c r="L351" s="450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75" customHeight="1">
      <c r="A352" s="36"/>
      <c r="B352" s="432"/>
      <c r="C352" s="432"/>
      <c r="D352" s="446"/>
      <c r="E352" s="36"/>
      <c r="F352" s="36"/>
      <c r="G352" s="432"/>
      <c r="H352" s="432"/>
      <c r="I352" s="36"/>
      <c r="J352" s="36"/>
      <c r="K352" s="36"/>
      <c r="L352" s="450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75" customHeight="1">
      <c r="A353" s="36"/>
      <c r="B353" s="432"/>
      <c r="C353" s="432"/>
      <c r="D353" s="446"/>
      <c r="E353" s="36"/>
      <c r="F353" s="36"/>
      <c r="G353" s="432"/>
      <c r="H353" s="432"/>
      <c r="I353" s="36"/>
      <c r="J353" s="36"/>
      <c r="K353" s="36"/>
      <c r="L353" s="450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75" customHeight="1">
      <c r="A354" s="36"/>
      <c r="B354" s="432"/>
      <c r="C354" s="432"/>
      <c r="D354" s="446"/>
      <c r="E354" s="36"/>
      <c r="F354" s="36"/>
      <c r="G354" s="432"/>
      <c r="H354" s="432"/>
      <c r="I354" s="36"/>
      <c r="J354" s="36"/>
      <c r="K354" s="36"/>
      <c r="L354" s="450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75" customHeight="1">
      <c r="A355" s="36"/>
      <c r="B355" s="432"/>
      <c r="C355" s="432"/>
      <c r="D355" s="446"/>
      <c r="E355" s="36"/>
      <c r="F355" s="36"/>
      <c r="G355" s="432"/>
      <c r="H355" s="432"/>
      <c r="I355" s="36"/>
      <c r="J355" s="36"/>
      <c r="K355" s="36"/>
      <c r="L355" s="450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75" customHeight="1">
      <c r="A356" s="36"/>
      <c r="B356" s="432"/>
      <c r="C356" s="432"/>
      <c r="D356" s="446"/>
      <c r="E356" s="36"/>
      <c r="F356" s="36"/>
      <c r="G356" s="432"/>
      <c r="H356" s="432"/>
      <c r="I356" s="36"/>
      <c r="J356" s="36"/>
      <c r="K356" s="36"/>
      <c r="L356" s="450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75" customHeight="1">
      <c r="A357" s="36"/>
      <c r="B357" s="432"/>
      <c r="C357" s="432"/>
      <c r="D357" s="446"/>
      <c r="E357" s="36"/>
      <c r="F357" s="36"/>
      <c r="G357" s="432"/>
      <c r="H357" s="432"/>
      <c r="I357" s="36"/>
      <c r="J357" s="36"/>
      <c r="K357" s="36"/>
      <c r="L357" s="450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75" customHeight="1">
      <c r="A358" s="36"/>
      <c r="B358" s="432"/>
      <c r="C358" s="432"/>
      <c r="D358" s="446"/>
      <c r="E358" s="36"/>
      <c r="F358" s="36"/>
      <c r="G358" s="432"/>
      <c r="H358" s="432"/>
      <c r="I358" s="36"/>
      <c r="J358" s="36"/>
      <c r="K358" s="36"/>
      <c r="L358" s="450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75" customHeight="1">
      <c r="A359" s="36"/>
      <c r="B359" s="432"/>
      <c r="C359" s="432"/>
      <c r="D359" s="446"/>
      <c r="E359" s="36"/>
      <c r="F359" s="36"/>
      <c r="G359" s="432"/>
      <c r="H359" s="432"/>
      <c r="I359" s="36"/>
      <c r="J359" s="36"/>
      <c r="K359" s="36"/>
      <c r="L359" s="450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75" customHeight="1">
      <c r="A360" s="36"/>
      <c r="B360" s="432"/>
      <c r="C360" s="432"/>
      <c r="D360" s="446"/>
      <c r="E360" s="36"/>
      <c r="F360" s="36"/>
      <c r="G360" s="432"/>
      <c r="H360" s="432"/>
      <c r="I360" s="36"/>
      <c r="J360" s="36"/>
      <c r="K360" s="36"/>
      <c r="L360" s="450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75" customHeight="1">
      <c r="A361" s="36"/>
      <c r="B361" s="432"/>
      <c r="C361" s="432"/>
      <c r="D361" s="446"/>
      <c r="E361" s="36"/>
      <c r="F361" s="36"/>
      <c r="G361" s="432"/>
      <c r="H361" s="432"/>
      <c r="I361" s="36"/>
      <c r="J361" s="36"/>
      <c r="K361" s="36"/>
      <c r="L361" s="450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75" customHeight="1">
      <c r="A362" s="36"/>
      <c r="B362" s="432"/>
      <c r="C362" s="432"/>
      <c r="D362" s="446"/>
      <c r="E362" s="36"/>
      <c r="F362" s="36"/>
      <c r="G362" s="432"/>
      <c r="H362" s="432"/>
      <c r="I362" s="36"/>
      <c r="J362" s="36"/>
      <c r="K362" s="36"/>
      <c r="L362" s="450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75" customHeight="1">
      <c r="A363" s="36"/>
      <c r="B363" s="432"/>
      <c r="C363" s="432"/>
      <c r="D363" s="446"/>
      <c r="E363" s="36"/>
      <c r="F363" s="36"/>
      <c r="G363" s="432"/>
      <c r="H363" s="432"/>
      <c r="I363" s="36"/>
      <c r="J363" s="36"/>
      <c r="K363" s="36"/>
      <c r="L363" s="450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75" customHeight="1">
      <c r="A364" s="36"/>
      <c r="B364" s="432"/>
      <c r="C364" s="432"/>
      <c r="D364" s="446"/>
      <c r="E364" s="36"/>
      <c r="F364" s="36"/>
      <c r="G364" s="432"/>
      <c r="H364" s="432"/>
      <c r="I364" s="36"/>
      <c r="J364" s="36"/>
      <c r="K364" s="36"/>
      <c r="L364" s="450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75" customHeight="1">
      <c r="A365" s="36"/>
      <c r="B365" s="432"/>
      <c r="C365" s="432"/>
      <c r="D365" s="446"/>
      <c r="E365" s="36"/>
      <c r="F365" s="36"/>
      <c r="G365" s="432"/>
      <c r="H365" s="432"/>
      <c r="I365" s="36"/>
      <c r="J365" s="36"/>
      <c r="K365" s="36"/>
      <c r="L365" s="450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75" customHeight="1">
      <c r="A366" s="36"/>
      <c r="B366" s="432"/>
      <c r="C366" s="432"/>
      <c r="D366" s="446"/>
      <c r="E366" s="36"/>
      <c r="F366" s="36"/>
      <c r="G366" s="432"/>
      <c r="H366" s="432"/>
      <c r="I366" s="36"/>
      <c r="J366" s="36"/>
      <c r="K366" s="36"/>
      <c r="L366" s="450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75" customHeight="1">
      <c r="A367" s="36"/>
      <c r="B367" s="432"/>
      <c r="C367" s="432"/>
      <c r="D367" s="446"/>
      <c r="E367" s="36"/>
      <c r="F367" s="36"/>
      <c r="G367" s="432"/>
      <c r="H367" s="432"/>
      <c r="I367" s="36"/>
      <c r="J367" s="36"/>
      <c r="K367" s="36"/>
      <c r="L367" s="450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75" customHeight="1">
      <c r="A368" s="36"/>
      <c r="B368" s="432"/>
      <c r="C368" s="432"/>
      <c r="D368" s="446"/>
      <c r="E368" s="36"/>
      <c r="F368" s="36"/>
      <c r="G368" s="432"/>
      <c r="H368" s="432"/>
      <c r="I368" s="36"/>
      <c r="J368" s="36"/>
      <c r="K368" s="36"/>
      <c r="L368" s="450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75" customHeight="1">
      <c r="A369" s="36"/>
      <c r="B369" s="432"/>
      <c r="C369" s="432"/>
      <c r="D369" s="446"/>
      <c r="E369" s="36"/>
      <c r="F369" s="36"/>
      <c r="G369" s="432"/>
      <c r="H369" s="432"/>
      <c r="I369" s="36"/>
      <c r="J369" s="36"/>
      <c r="K369" s="36"/>
      <c r="L369" s="450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75" customHeight="1">
      <c r="A370" s="36"/>
      <c r="B370" s="432"/>
      <c r="C370" s="432"/>
      <c r="D370" s="446"/>
      <c r="E370" s="36"/>
      <c r="F370" s="36"/>
      <c r="G370" s="432"/>
      <c r="H370" s="432"/>
      <c r="I370" s="36"/>
      <c r="J370" s="36"/>
      <c r="K370" s="36"/>
      <c r="L370" s="450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75" customHeight="1">
      <c r="A371" s="36"/>
      <c r="B371" s="432"/>
      <c r="C371" s="432"/>
      <c r="D371" s="446"/>
      <c r="E371" s="36"/>
      <c r="F371" s="36"/>
      <c r="G371" s="432"/>
      <c r="H371" s="432"/>
      <c r="I371" s="36"/>
      <c r="J371" s="36"/>
      <c r="K371" s="36"/>
      <c r="L371" s="450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75" customHeight="1">
      <c r="A372" s="36"/>
      <c r="B372" s="432"/>
      <c r="C372" s="432"/>
      <c r="D372" s="446"/>
      <c r="E372" s="36"/>
      <c r="F372" s="36"/>
      <c r="G372" s="432"/>
      <c r="H372" s="432"/>
      <c r="I372" s="36"/>
      <c r="J372" s="36"/>
      <c r="K372" s="36"/>
      <c r="L372" s="450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75" customHeight="1">
      <c r="A373" s="36"/>
      <c r="B373" s="432"/>
      <c r="C373" s="432"/>
      <c r="D373" s="446"/>
      <c r="E373" s="36"/>
      <c r="F373" s="36"/>
      <c r="G373" s="432"/>
      <c r="H373" s="432"/>
      <c r="I373" s="36"/>
      <c r="J373" s="36"/>
      <c r="K373" s="36"/>
      <c r="L373" s="450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75" customHeight="1">
      <c r="A374" s="36"/>
      <c r="B374" s="432"/>
      <c r="C374" s="432"/>
      <c r="D374" s="446"/>
      <c r="E374" s="36"/>
      <c r="F374" s="36"/>
      <c r="G374" s="432"/>
      <c r="H374" s="432"/>
      <c r="I374" s="36"/>
      <c r="J374" s="36"/>
      <c r="K374" s="36"/>
      <c r="L374" s="450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75" customHeight="1">
      <c r="A375" s="36"/>
      <c r="B375" s="432"/>
      <c r="C375" s="432"/>
      <c r="D375" s="446"/>
      <c r="E375" s="36"/>
      <c r="F375" s="36"/>
      <c r="G375" s="432"/>
      <c r="H375" s="432"/>
      <c r="I375" s="36"/>
      <c r="J375" s="36"/>
      <c r="K375" s="36"/>
      <c r="L375" s="450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75" customHeight="1">
      <c r="A376" s="36"/>
      <c r="B376" s="432"/>
      <c r="C376" s="432"/>
      <c r="D376" s="446"/>
      <c r="E376" s="36"/>
      <c r="F376" s="36"/>
      <c r="G376" s="432"/>
      <c r="H376" s="432"/>
      <c r="I376" s="36"/>
      <c r="J376" s="36"/>
      <c r="K376" s="36"/>
      <c r="L376" s="450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75" customHeight="1">
      <c r="A377" s="36"/>
      <c r="B377" s="432"/>
      <c r="C377" s="432"/>
      <c r="D377" s="446"/>
      <c r="E377" s="36"/>
      <c r="F377" s="36"/>
      <c r="G377" s="432"/>
      <c r="H377" s="432"/>
      <c r="I377" s="36"/>
      <c r="J377" s="36"/>
      <c r="K377" s="36"/>
      <c r="L377" s="450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75" customHeight="1">
      <c r="A378" s="36"/>
      <c r="B378" s="432"/>
      <c r="C378" s="432"/>
      <c r="D378" s="446"/>
      <c r="E378" s="36"/>
      <c r="F378" s="36"/>
      <c r="G378" s="432"/>
      <c r="H378" s="432"/>
      <c r="I378" s="36"/>
      <c r="J378" s="36"/>
      <c r="K378" s="36"/>
      <c r="L378" s="450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75" customHeight="1">
      <c r="A379" s="36"/>
      <c r="B379" s="432"/>
      <c r="C379" s="432"/>
      <c r="D379" s="446"/>
      <c r="E379" s="36"/>
      <c r="F379" s="36"/>
      <c r="G379" s="432"/>
      <c r="H379" s="432"/>
      <c r="I379" s="36"/>
      <c r="J379" s="36"/>
      <c r="K379" s="36"/>
      <c r="L379" s="450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75" customHeight="1">
      <c r="A380" s="36"/>
      <c r="B380" s="432"/>
      <c r="C380" s="432"/>
      <c r="D380" s="446"/>
      <c r="E380" s="36"/>
      <c r="F380" s="36"/>
      <c r="G380" s="432"/>
      <c r="H380" s="432"/>
      <c r="I380" s="36"/>
      <c r="J380" s="36"/>
      <c r="K380" s="36"/>
      <c r="L380" s="450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75" customHeight="1">
      <c r="A381" s="36"/>
      <c r="B381" s="432"/>
      <c r="C381" s="432"/>
      <c r="D381" s="446"/>
      <c r="E381" s="36"/>
      <c r="F381" s="36"/>
      <c r="G381" s="432"/>
      <c r="H381" s="432"/>
      <c r="I381" s="36"/>
      <c r="J381" s="36"/>
      <c r="K381" s="36"/>
      <c r="L381" s="450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75" customHeight="1">
      <c r="A382" s="36"/>
      <c r="B382" s="432"/>
      <c r="C382" s="432"/>
      <c r="D382" s="446"/>
      <c r="E382" s="36"/>
      <c r="F382" s="36"/>
      <c r="G382" s="432"/>
      <c r="H382" s="432"/>
      <c r="I382" s="36"/>
      <c r="J382" s="36"/>
      <c r="K382" s="36"/>
      <c r="L382" s="450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75" customHeight="1">
      <c r="A383" s="36"/>
      <c r="B383" s="432"/>
      <c r="C383" s="432"/>
      <c r="D383" s="446"/>
      <c r="E383" s="36"/>
      <c r="F383" s="36"/>
      <c r="G383" s="432"/>
      <c r="H383" s="432"/>
      <c r="I383" s="36"/>
      <c r="J383" s="36"/>
      <c r="K383" s="36"/>
      <c r="L383" s="450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75" customHeight="1">
      <c r="A384" s="36"/>
      <c r="B384" s="432"/>
      <c r="C384" s="432"/>
      <c r="D384" s="446"/>
      <c r="E384" s="36"/>
      <c r="F384" s="36"/>
      <c r="G384" s="432"/>
      <c r="H384" s="432"/>
      <c r="I384" s="36"/>
      <c r="J384" s="36"/>
      <c r="K384" s="36"/>
      <c r="L384" s="450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75" customHeight="1">
      <c r="A385" s="36"/>
      <c r="B385" s="432"/>
      <c r="C385" s="432"/>
      <c r="D385" s="446"/>
      <c r="E385" s="36"/>
      <c r="F385" s="36"/>
      <c r="G385" s="432"/>
      <c r="H385" s="432"/>
      <c r="I385" s="36"/>
      <c r="J385" s="36"/>
      <c r="K385" s="36"/>
      <c r="L385" s="450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75" customHeight="1">
      <c r="A386" s="36"/>
      <c r="B386" s="432"/>
      <c r="C386" s="432"/>
      <c r="D386" s="446"/>
      <c r="E386" s="36"/>
      <c r="F386" s="36"/>
      <c r="G386" s="432"/>
      <c r="H386" s="432"/>
      <c r="I386" s="36"/>
      <c r="J386" s="36"/>
      <c r="K386" s="36"/>
      <c r="L386" s="450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75" customHeight="1">
      <c r="A387" s="36"/>
      <c r="B387" s="432"/>
      <c r="C387" s="432"/>
      <c r="D387" s="446"/>
      <c r="E387" s="36"/>
      <c r="F387" s="36"/>
      <c r="G387" s="432"/>
      <c r="H387" s="432"/>
      <c r="I387" s="36"/>
      <c r="J387" s="36"/>
      <c r="K387" s="36"/>
      <c r="L387" s="450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75" customHeight="1">
      <c r="A388" s="36"/>
      <c r="B388" s="432"/>
      <c r="C388" s="432"/>
      <c r="D388" s="446"/>
      <c r="E388" s="36"/>
      <c r="F388" s="36"/>
      <c r="G388" s="432"/>
      <c r="H388" s="432"/>
      <c r="I388" s="36"/>
      <c r="J388" s="36"/>
      <c r="K388" s="36"/>
      <c r="L388" s="450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75" customHeight="1">
      <c r="A389" s="36"/>
      <c r="B389" s="432"/>
      <c r="C389" s="432"/>
      <c r="D389" s="446"/>
      <c r="E389" s="36"/>
      <c r="F389" s="36"/>
      <c r="G389" s="432"/>
      <c r="H389" s="432"/>
      <c r="I389" s="36"/>
      <c r="J389" s="36"/>
      <c r="K389" s="36"/>
      <c r="L389" s="450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75" customHeight="1">
      <c r="A390" s="36"/>
      <c r="B390" s="432"/>
      <c r="C390" s="432"/>
      <c r="D390" s="446"/>
      <c r="E390" s="36"/>
      <c r="F390" s="36"/>
      <c r="G390" s="432"/>
      <c r="H390" s="432"/>
      <c r="I390" s="36"/>
      <c r="J390" s="36"/>
      <c r="K390" s="36"/>
      <c r="L390" s="450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75" customHeight="1">
      <c r="A391" s="36"/>
      <c r="B391" s="432"/>
      <c r="C391" s="432"/>
      <c r="D391" s="446"/>
      <c r="E391" s="36"/>
      <c r="F391" s="36"/>
      <c r="G391" s="432"/>
      <c r="H391" s="432"/>
      <c r="I391" s="36"/>
      <c r="J391" s="36"/>
      <c r="K391" s="36"/>
      <c r="L391" s="450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75" customHeight="1">
      <c r="A392" s="36"/>
      <c r="B392" s="432"/>
      <c r="C392" s="432"/>
      <c r="D392" s="446"/>
      <c r="E392" s="36"/>
      <c r="F392" s="36"/>
      <c r="G392" s="432"/>
      <c r="H392" s="432"/>
      <c r="I392" s="36"/>
      <c r="J392" s="36"/>
      <c r="K392" s="36"/>
      <c r="L392" s="450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75" customHeight="1">
      <c r="A393" s="36"/>
      <c r="B393" s="432"/>
      <c r="C393" s="432"/>
      <c r="D393" s="446"/>
      <c r="E393" s="36"/>
      <c r="F393" s="36"/>
      <c r="G393" s="432"/>
      <c r="H393" s="432"/>
      <c r="I393" s="36"/>
      <c r="J393" s="36"/>
      <c r="K393" s="36"/>
      <c r="L393" s="450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75" customHeight="1">
      <c r="A394" s="36"/>
      <c r="B394" s="432"/>
      <c r="C394" s="432"/>
      <c r="D394" s="446"/>
      <c r="E394" s="36"/>
      <c r="F394" s="36"/>
      <c r="G394" s="432"/>
      <c r="H394" s="432"/>
      <c r="I394" s="36"/>
      <c r="J394" s="36"/>
      <c r="K394" s="36"/>
      <c r="L394" s="450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75" customHeight="1">
      <c r="A395" s="36"/>
      <c r="B395" s="432"/>
      <c r="C395" s="432"/>
      <c r="D395" s="446"/>
      <c r="E395" s="36"/>
      <c r="F395" s="36"/>
      <c r="G395" s="432"/>
      <c r="H395" s="432"/>
      <c r="I395" s="36"/>
      <c r="J395" s="36"/>
      <c r="K395" s="36"/>
      <c r="L395" s="450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75" customHeight="1">
      <c r="A396" s="36"/>
      <c r="B396" s="432"/>
      <c r="C396" s="432"/>
      <c r="D396" s="446"/>
      <c r="E396" s="36"/>
      <c r="F396" s="36"/>
      <c r="G396" s="432"/>
      <c r="H396" s="432"/>
      <c r="I396" s="36"/>
      <c r="J396" s="36"/>
      <c r="K396" s="36"/>
      <c r="L396" s="450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75" customHeight="1">
      <c r="A397" s="36"/>
      <c r="B397" s="432"/>
      <c r="C397" s="432"/>
      <c r="D397" s="446"/>
      <c r="E397" s="36"/>
      <c r="F397" s="36"/>
      <c r="G397" s="432"/>
      <c r="H397" s="432"/>
      <c r="I397" s="36"/>
      <c r="J397" s="36"/>
      <c r="K397" s="36"/>
      <c r="L397" s="450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75" customHeight="1">
      <c r="A398" s="36"/>
      <c r="B398" s="432"/>
      <c r="C398" s="432"/>
      <c r="D398" s="446"/>
      <c r="E398" s="36"/>
      <c r="F398" s="36"/>
      <c r="G398" s="432"/>
      <c r="H398" s="432"/>
      <c r="I398" s="36"/>
      <c r="J398" s="36"/>
      <c r="K398" s="36"/>
      <c r="L398" s="450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75" customHeight="1">
      <c r="A399" s="36"/>
      <c r="B399" s="432"/>
      <c r="C399" s="432"/>
      <c r="D399" s="446"/>
      <c r="E399" s="36"/>
      <c r="F399" s="36"/>
      <c r="G399" s="432"/>
      <c r="H399" s="432"/>
      <c r="I399" s="36"/>
      <c r="J399" s="36"/>
      <c r="K399" s="36"/>
      <c r="L399" s="450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75" customHeight="1">
      <c r="A400" s="36"/>
      <c r="B400" s="432"/>
      <c r="C400" s="432"/>
      <c r="D400" s="446"/>
      <c r="E400" s="36"/>
      <c r="F400" s="36"/>
      <c r="G400" s="432"/>
      <c r="H400" s="432"/>
      <c r="I400" s="36"/>
      <c r="J400" s="36"/>
      <c r="K400" s="36"/>
      <c r="L400" s="450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75" customHeight="1">
      <c r="A401" s="36"/>
      <c r="B401" s="432"/>
      <c r="C401" s="432"/>
      <c r="D401" s="446"/>
      <c r="E401" s="36"/>
      <c r="F401" s="36"/>
      <c r="G401" s="432"/>
      <c r="H401" s="432"/>
      <c r="I401" s="36"/>
      <c r="J401" s="36"/>
      <c r="K401" s="36"/>
      <c r="L401" s="450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75" customHeight="1">
      <c r="A402" s="36"/>
      <c r="B402" s="432"/>
      <c r="C402" s="432"/>
      <c r="D402" s="446"/>
      <c r="E402" s="36"/>
      <c r="F402" s="36"/>
      <c r="G402" s="432"/>
      <c r="H402" s="432"/>
      <c r="I402" s="36"/>
      <c r="J402" s="36"/>
      <c r="K402" s="36"/>
      <c r="L402" s="450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75" customHeight="1">
      <c r="A403" s="36"/>
      <c r="B403" s="432"/>
      <c r="C403" s="432"/>
      <c r="D403" s="446"/>
      <c r="E403" s="36"/>
      <c r="F403" s="36"/>
      <c r="G403" s="432"/>
      <c r="H403" s="432"/>
      <c r="I403" s="36"/>
      <c r="J403" s="36"/>
      <c r="K403" s="36"/>
      <c r="L403" s="450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75" customHeight="1">
      <c r="A404" s="36"/>
      <c r="B404" s="432"/>
      <c r="C404" s="432"/>
      <c r="D404" s="446"/>
      <c r="E404" s="36"/>
      <c r="F404" s="36"/>
      <c r="G404" s="432"/>
      <c r="H404" s="432"/>
      <c r="I404" s="36"/>
      <c r="J404" s="36"/>
      <c r="K404" s="36"/>
      <c r="L404" s="450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75" customHeight="1">
      <c r="A405" s="36"/>
      <c r="B405" s="432"/>
      <c r="C405" s="432"/>
      <c r="D405" s="446"/>
      <c r="E405" s="36"/>
      <c r="F405" s="36"/>
      <c r="G405" s="432"/>
      <c r="H405" s="432"/>
      <c r="I405" s="36"/>
      <c r="J405" s="36"/>
      <c r="K405" s="36"/>
      <c r="L405" s="450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75" customHeight="1">
      <c r="A406" s="36"/>
      <c r="B406" s="432"/>
      <c r="C406" s="432"/>
      <c r="D406" s="446"/>
      <c r="E406" s="36"/>
      <c r="F406" s="36"/>
      <c r="G406" s="432"/>
      <c r="H406" s="432"/>
      <c r="I406" s="36"/>
      <c r="J406" s="36"/>
      <c r="K406" s="36"/>
      <c r="L406" s="450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75" customHeight="1">
      <c r="A407" s="36"/>
      <c r="B407" s="432"/>
      <c r="C407" s="432"/>
      <c r="D407" s="446"/>
      <c r="E407" s="36"/>
      <c r="F407" s="36"/>
      <c r="G407" s="432"/>
      <c r="H407" s="432"/>
      <c r="I407" s="36"/>
      <c r="J407" s="36"/>
      <c r="K407" s="36"/>
      <c r="L407" s="450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75" customHeight="1">
      <c r="A408" s="36"/>
      <c r="B408" s="432"/>
      <c r="C408" s="432"/>
      <c r="D408" s="446"/>
      <c r="E408" s="36"/>
      <c r="F408" s="36"/>
      <c r="G408" s="432"/>
      <c r="H408" s="432"/>
      <c r="I408" s="36"/>
      <c r="J408" s="36"/>
      <c r="K408" s="36"/>
      <c r="L408" s="450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75" customHeight="1">
      <c r="A409" s="36"/>
      <c r="B409" s="432"/>
      <c r="C409" s="432"/>
      <c r="D409" s="446"/>
      <c r="E409" s="36"/>
      <c r="F409" s="36"/>
      <c r="G409" s="432"/>
      <c r="H409" s="432"/>
      <c r="I409" s="36"/>
      <c r="J409" s="36"/>
      <c r="K409" s="36"/>
      <c r="L409" s="450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75" customHeight="1">
      <c r="A410" s="36"/>
      <c r="B410" s="432"/>
      <c r="C410" s="432"/>
      <c r="D410" s="446"/>
      <c r="E410" s="36"/>
      <c r="F410" s="36"/>
      <c r="G410" s="432"/>
      <c r="H410" s="432"/>
      <c r="I410" s="36"/>
      <c r="J410" s="36"/>
      <c r="K410" s="36"/>
      <c r="L410" s="450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75" customHeight="1">
      <c r="A411" s="36"/>
      <c r="B411" s="432"/>
      <c r="C411" s="432"/>
      <c r="D411" s="446"/>
      <c r="E411" s="36"/>
      <c r="F411" s="36"/>
      <c r="G411" s="432"/>
      <c r="H411" s="432"/>
      <c r="I411" s="36"/>
      <c r="J411" s="36"/>
      <c r="K411" s="36"/>
      <c r="L411" s="450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75" customHeight="1">
      <c r="A412" s="36"/>
      <c r="B412" s="432"/>
      <c r="C412" s="432"/>
      <c r="D412" s="446"/>
      <c r="E412" s="36"/>
      <c r="F412" s="36"/>
      <c r="G412" s="432"/>
      <c r="H412" s="432"/>
      <c r="I412" s="36"/>
      <c r="J412" s="36"/>
      <c r="K412" s="36"/>
      <c r="L412" s="450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75" customHeight="1">
      <c r="A413" s="36"/>
      <c r="B413" s="432"/>
      <c r="C413" s="432"/>
      <c r="D413" s="446"/>
      <c r="E413" s="36"/>
      <c r="F413" s="36"/>
      <c r="G413" s="432"/>
      <c r="H413" s="432"/>
      <c r="I413" s="36"/>
      <c r="J413" s="36"/>
      <c r="K413" s="36"/>
      <c r="L413" s="450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75" customHeight="1">
      <c r="A414" s="36"/>
      <c r="B414" s="432"/>
      <c r="C414" s="432"/>
      <c r="D414" s="446"/>
      <c r="E414" s="36"/>
      <c r="F414" s="36"/>
      <c r="G414" s="432"/>
      <c r="H414" s="432"/>
      <c r="I414" s="36"/>
      <c r="J414" s="36"/>
      <c r="K414" s="36"/>
      <c r="L414" s="450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75" customHeight="1">
      <c r="A415" s="36"/>
      <c r="B415" s="432"/>
      <c r="C415" s="432"/>
      <c r="D415" s="446"/>
      <c r="E415" s="36"/>
      <c r="F415" s="36"/>
      <c r="G415" s="432"/>
      <c r="H415" s="432"/>
      <c r="I415" s="36"/>
      <c r="J415" s="36"/>
      <c r="K415" s="36"/>
      <c r="L415" s="450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75" customHeight="1">
      <c r="A416" s="36"/>
      <c r="B416" s="432"/>
      <c r="C416" s="432"/>
      <c r="D416" s="446"/>
      <c r="E416" s="36"/>
      <c r="F416" s="36"/>
      <c r="G416" s="432"/>
      <c r="H416" s="432"/>
      <c r="I416" s="36"/>
      <c r="J416" s="36"/>
      <c r="K416" s="36"/>
      <c r="L416" s="450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75" customHeight="1">
      <c r="A417" s="36"/>
      <c r="B417" s="432"/>
      <c r="C417" s="432"/>
      <c r="D417" s="446"/>
      <c r="E417" s="36"/>
      <c r="F417" s="36"/>
      <c r="G417" s="432"/>
      <c r="H417" s="432"/>
      <c r="I417" s="36"/>
      <c r="J417" s="36"/>
      <c r="K417" s="36"/>
      <c r="L417" s="450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75" customHeight="1">
      <c r="A418" s="36"/>
      <c r="B418" s="432"/>
      <c r="C418" s="432"/>
      <c r="D418" s="446"/>
      <c r="E418" s="36"/>
      <c r="F418" s="36"/>
      <c r="G418" s="432"/>
      <c r="H418" s="432"/>
      <c r="I418" s="36"/>
      <c r="J418" s="36"/>
      <c r="K418" s="36"/>
      <c r="L418" s="450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75" customHeight="1">
      <c r="A419" s="36"/>
      <c r="B419" s="432"/>
      <c r="C419" s="432"/>
      <c r="D419" s="446"/>
      <c r="E419" s="36"/>
      <c r="F419" s="36"/>
      <c r="G419" s="432"/>
      <c r="H419" s="432"/>
      <c r="I419" s="36"/>
      <c r="J419" s="36"/>
      <c r="K419" s="36"/>
      <c r="L419" s="450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75" customHeight="1">
      <c r="A420" s="36"/>
      <c r="B420" s="432"/>
      <c r="C420" s="432"/>
      <c r="D420" s="446"/>
      <c r="E420" s="36"/>
      <c r="F420" s="36"/>
      <c r="G420" s="432"/>
      <c r="H420" s="432"/>
      <c r="I420" s="36"/>
      <c r="J420" s="36"/>
      <c r="K420" s="36"/>
      <c r="L420" s="450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75" customHeight="1">
      <c r="A421" s="36"/>
      <c r="B421" s="432"/>
      <c r="C421" s="432"/>
      <c r="D421" s="446"/>
      <c r="E421" s="36"/>
      <c r="F421" s="36"/>
      <c r="G421" s="432"/>
      <c r="H421" s="432"/>
      <c r="I421" s="36"/>
      <c r="J421" s="36"/>
      <c r="K421" s="36"/>
      <c r="L421" s="450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75" customHeight="1">
      <c r="A422" s="36"/>
      <c r="B422" s="432"/>
      <c r="C422" s="432"/>
      <c r="D422" s="446"/>
      <c r="E422" s="36"/>
      <c r="F422" s="36"/>
      <c r="G422" s="432"/>
      <c r="H422" s="432"/>
      <c r="I422" s="36"/>
      <c r="J422" s="36"/>
      <c r="K422" s="36"/>
      <c r="L422" s="450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75" customHeight="1">
      <c r="A423" s="36"/>
      <c r="B423" s="432"/>
      <c r="C423" s="432"/>
      <c r="D423" s="446"/>
      <c r="E423" s="36"/>
      <c r="F423" s="36"/>
      <c r="G423" s="432"/>
      <c r="H423" s="432"/>
      <c r="I423" s="36"/>
      <c r="J423" s="36"/>
      <c r="K423" s="36"/>
      <c r="L423" s="450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75" customHeight="1">
      <c r="A424" s="36"/>
      <c r="B424" s="432"/>
      <c r="C424" s="432"/>
      <c r="D424" s="446"/>
      <c r="E424" s="36"/>
      <c r="F424" s="36"/>
      <c r="G424" s="432"/>
      <c r="H424" s="432"/>
      <c r="I424" s="36"/>
      <c r="J424" s="36"/>
      <c r="K424" s="36"/>
      <c r="L424" s="450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75" customHeight="1">
      <c r="A425" s="36"/>
      <c r="B425" s="432"/>
      <c r="C425" s="432"/>
      <c r="D425" s="446"/>
      <c r="E425" s="36"/>
      <c r="F425" s="36"/>
      <c r="G425" s="432"/>
      <c r="H425" s="432"/>
      <c r="I425" s="36"/>
      <c r="J425" s="36"/>
      <c r="K425" s="36"/>
      <c r="L425" s="450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75" customHeight="1">
      <c r="A426" s="36"/>
      <c r="B426" s="432"/>
      <c r="C426" s="432"/>
      <c r="D426" s="446"/>
      <c r="E426" s="36"/>
      <c r="F426" s="36"/>
      <c r="G426" s="432"/>
      <c r="H426" s="432"/>
      <c r="I426" s="36"/>
      <c r="J426" s="36"/>
      <c r="K426" s="36"/>
      <c r="L426" s="450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75" customHeight="1">
      <c r="A427" s="36"/>
      <c r="B427" s="432"/>
      <c r="C427" s="432"/>
      <c r="D427" s="446"/>
      <c r="E427" s="36"/>
      <c r="F427" s="36"/>
      <c r="G427" s="432"/>
      <c r="H427" s="432"/>
      <c r="I427" s="36"/>
      <c r="J427" s="36"/>
      <c r="K427" s="36"/>
      <c r="L427" s="450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75" customHeight="1">
      <c r="A428" s="36"/>
      <c r="B428" s="432"/>
      <c r="C428" s="432"/>
      <c r="D428" s="446"/>
      <c r="E428" s="36"/>
      <c r="F428" s="36"/>
      <c r="G428" s="432"/>
      <c r="H428" s="432"/>
      <c r="I428" s="36"/>
      <c r="J428" s="36"/>
      <c r="K428" s="36"/>
      <c r="L428" s="450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75" customHeight="1">
      <c r="A429" s="36"/>
      <c r="B429" s="432"/>
      <c r="C429" s="432"/>
      <c r="D429" s="446"/>
      <c r="E429" s="36"/>
      <c r="F429" s="36"/>
      <c r="G429" s="432"/>
      <c r="H429" s="432"/>
      <c r="I429" s="36"/>
      <c r="J429" s="36"/>
      <c r="K429" s="36"/>
      <c r="L429" s="450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75" customHeight="1">
      <c r="A430" s="36"/>
      <c r="B430" s="432"/>
      <c r="C430" s="432"/>
      <c r="D430" s="446"/>
      <c r="E430" s="36"/>
      <c r="F430" s="36"/>
      <c r="G430" s="432"/>
      <c r="H430" s="432"/>
      <c r="I430" s="36"/>
      <c r="J430" s="36"/>
      <c r="K430" s="36"/>
      <c r="L430" s="450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75" customHeight="1">
      <c r="A431" s="36"/>
      <c r="B431" s="432"/>
      <c r="C431" s="432"/>
      <c r="D431" s="446"/>
      <c r="E431" s="36"/>
      <c r="F431" s="36"/>
      <c r="G431" s="432"/>
      <c r="H431" s="432"/>
      <c r="I431" s="36"/>
      <c r="J431" s="36"/>
      <c r="K431" s="36"/>
      <c r="L431" s="450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75" customHeight="1">
      <c r="A432" s="36"/>
      <c r="B432" s="432"/>
      <c r="C432" s="432"/>
      <c r="D432" s="446"/>
      <c r="E432" s="36"/>
      <c r="F432" s="36"/>
      <c r="G432" s="432"/>
      <c r="H432" s="432"/>
      <c r="I432" s="36"/>
      <c r="J432" s="36"/>
      <c r="K432" s="36"/>
      <c r="L432" s="450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75" customHeight="1">
      <c r="A433" s="36"/>
      <c r="B433" s="432"/>
      <c r="C433" s="432"/>
      <c r="D433" s="446"/>
      <c r="E433" s="36"/>
      <c r="F433" s="36"/>
      <c r="G433" s="432"/>
      <c r="H433" s="432"/>
      <c r="I433" s="36"/>
      <c r="J433" s="36"/>
      <c r="K433" s="36"/>
      <c r="L433" s="450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75" customHeight="1">
      <c r="A434" s="36"/>
      <c r="B434" s="432"/>
      <c r="C434" s="432"/>
      <c r="D434" s="446"/>
      <c r="E434" s="36"/>
      <c r="F434" s="36"/>
      <c r="G434" s="432"/>
      <c r="H434" s="432"/>
      <c r="I434" s="36"/>
      <c r="J434" s="36"/>
      <c r="K434" s="36"/>
      <c r="L434" s="450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75" customHeight="1">
      <c r="A435" s="36"/>
      <c r="B435" s="432"/>
      <c r="C435" s="432"/>
      <c r="D435" s="446"/>
      <c r="E435" s="36"/>
      <c r="F435" s="36"/>
      <c r="G435" s="432"/>
      <c r="H435" s="432"/>
      <c r="I435" s="36"/>
      <c r="J435" s="36"/>
      <c r="K435" s="36"/>
      <c r="L435" s="450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75" customHeight="1">
      <c r="A436" s="36"/>
      <c r="B436" s="432"/>
      <c r="C436" s="432"/>
      <c r="D436" s="446"/>
      <c r="E436" s="36"/>
      <c r="F436" s="36"/>
      <c r="G436" s="432"/>
      <c r="H436" s="432"/>
      <c r="I436" s="36"/>
      <c r="J436" s="36"/>
      <c r="K436" s="36"/>
      <c r="L436" s="450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75" customHeight="1">
      <c r="A437" s="36"/>
      <c r="B437" s="432"/>
      <c r="C437" s="432"/>
      <c r="D437" s="446"/>
      <c r="E437" s="36"/>
      <c r="F437" s="36"/>
      <c r="G437" s="432"/>
      <c r="H437" s="432"/>
      <c r="I437" s="36"/>
      <c r="J437" s="36"/>
      <c r="K437" s="36"/>
      <c r="L437" s="450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75" customHeight="1">
      <c r="A438" s="36"/>
      <c r="B438" s="432"/>
      <c r="C438" s="432"/>
      <c r="D438" s="446"/>
      <c r="E438" s="36"/>
      <c r="F438" s="36"/>
      <c r="G438" s="432"/>
      <c r="H438" s="432"/>
      <c r="I438" s="36"/>
      <c r="J438" s="36"/>
      <c r="K438" s="36"/>
      <c r="L438" s="450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75" customHeight="1">
      <c r="A439" s="36"/>
      <c r="B439" s="432"/>
      <c r="C439" s="432"/>
      <c r="D439" s="446"/>
      <c r="E439" s="36"/>
      <c r="F439" s="36"/>
      <c r="G439" s="432"/>
      <c r="H439" s="432"/>
      <c r="I439" s="36"/>
      <c r="J439" s="36"/>
      <c r="K439" s="36"/>
      <c r="L439" s="450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75" customHeight="1">
      <c r="A440" s="36"/>
      <c r="B440" s="432"/>
      <c r="C440" s="432"/>
      <c r="D440" s="446"/>
      <c r="E440" s="36"/>
      <c r="F440" s="36"/>
      <c r="G440" s="432"/>
      <c r="H440" s="432"/>
      <c r="I440" s="36"/>
      <c r="J440" s="36"/>
      <c r="K440" s="36"/>
      <c r="L440" s="450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75" customHeight="1">
      <c r="A441" s="36"/>
      <c r="B441" s="432"/>
      <c r="C441" s="432"/>
      <c r="D441" s="446"/>
      <c r="E441" s="36"/>
      <c r="F441" s="36"/>
      <c r="G441" s="432"/>
      <c r="H441" s="432"/>
      <c r="I441" s="36"/>
      <c r="J441" s="36"/>
      <c r="K441" s="36"/>
      <c r="L441" s="450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75" customHeight="1">
      <c r="A442" s="36"/>
      <c r="B442" s="432"/>
      <c r="C442" s="432"/>
      <c r="D442" s="446"/>
      <c r="E442" s="36"/>
      <c r="F442" s="36"/>
      <c r="G442" s="432"/>
      <c r="H442" s="432"/>
      <c r="I442" s="36"/>
      <c r="J442" s="36"/>
      <c r="K442" s="36"/>
      <c r="L442" s="450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75" customHeight="1">
      <c r="A443" s="36"/>
      <c r="B443" s="432"/>
      <c r="C443" s="432"/>
      <c r="D443" s="446"/>
      <c r="E443" s="36"/>
      <c r="F443" s="36"/>
      <c r="G443" s="432"/>
      <c r="H443" s="432"/>
      <c r="I443" s="36"/>
      <c r="J443" s="36"/>
      <c r="K443" s="36"/>
      <c r="L443" s="450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75" customHeight="1">
      <c r="A444" s="36"/>
      <c r="B444" s="432"/>
      <c r="C444" s="432"/>
      <c r="D444" s="446"/>
      <c r="E444" s="36"/>
      <c r="F444" s="36"/>
      <c r="G444" s="432"/>
      <c r="H444" s="432"/>
      <c r="I444" s="36"/>
      <c r="J444" s="36"/>
      <c r="K444" s="36"/>
      <c r="L444" s="450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75" customHeight="1">
      <c r="A445" s="36"/>
      <c r="B445" s="432"/>
      <c r="C445" s="432"/>
      <c r="D445" s="446"/>
      <c r="E445" s="36"/>
      <c r="F445" s="36"/>
      <c r="G445" s="432"/>
      <c r="H445" s="432"/>
      <c r="I445" s="36"/>
      <c r="J445" s="36"/>
      <c r="K445" s="36"/>
      <c r="L445" s="450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75" customHeight="1">
      <c r="A446" s="36"/>
      <c r="B446" s="432"/>
      <c r="C446" s="432"/>
      <c r="D446" s="446"/>
      <c r="E446" s="36"/>
      <c r="F446" s="36"/>
      <c r="G446" s="432"/>
      <c r="H446" s="432"/>
      <c r="I446" s="36"/>
      <c r="J446" s="36"/>
      <c r="K446" s="36"/>
      <c r="L446" s="450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75" customHeight="1">
      <c r="A447" s="36"/>
      <c r="B447" s="432"/>
      <c r="C447" s="432"/>
      <c r="D447" s="446"/>
      <c r="E447" s="36"/>
      <c r="F447" s="36"/>
      <c r="G447" s="432"/>
      <c r="H447" s="432"/>
      <c r="I447" s="36"/>
      <c r="J447" s="36"/>
      <c r="K447" s="36"/>
      <c r="L447" s="450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75" customHeight="1">
      <c r="A448" s="36"/>
      <c r="B448" s="432"/>
      <c r="C448" s="432"/>
      <c r="D448" s="446"/>
      <c r="E448" s="36"/>
      <c r="F448" s="36"/>
      <c r="G448" s="432"/>
      <c r="H448" s="432"/>
      <c r="I448" s="36"/>
      <c r="J448" s="36"/>
      <c r="K448" s="36"/>
      <c r="L448" s="450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75" customHeight="1">
      <c r="A449" s="36"/>
      <c r="B449" s="432"/>
      <c r="C449" s="432"/>
      <c r="D449" s="446"/>
      <c r="E449" s="36"/>
      <c r="F449" s="36"/>
      <c r="G449" s="432"/>
      <c r="H449" s="432"/>
      <c r="I449" s="36"/>
      <c r="J449" s="36"/>
      <c r="K449" s="36"/>
      <c r="L449" s="450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75" customHeight="1">
      <c r="A450" s="36"/>
      <c r="B450" s="432"/>
      <c r="C450" s="432"/>
      <c r="D450" s="446"/>
      <c r="E450" s="36"/>
      <c r="F450" s="36"/>
      <c r="G450" s="432"/>
      <c r="H450" s="432"/>
      <c r="I450" s="36"/>
      <c r="J450" s="36"/>
      <c r="K450" s="36"/>
      <c r="L450" s="450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75" customHeight="1">
      <c r="A451" s="36"/>
      <c r="B451" s="432"/>
      <c r="C451" s="432"/>
      <c r="D451" s="446"/>
      <c r="E451" s="36"/>
      <c r="F451" s="36"/>
      <c r="G451" s="432"/>
      <c r="H451" s="432"/>
      <c r="I451" s="36"/>
      <c r="J451" s="36"/>
      <c r="K451" s="36"/>
      <c r="L451" s="450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75" customHeight="1">
      <c r="A452" s="36"/>
      <c r="B452" s="432"/>
      <c r="C452" s="432"/>
      <c r="D452" s="446"/>
      <c r="E452" s="36"/>
      <c r="F452" s="36"/>
      <c r="G452" s="432"/>
      <c r="H452" s="432"/>
      <c r="I452" s="36"/>
      <c r="J452" s="36"/>
      <c r="K452" s="36"/>
      <c r="L452" s="450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75" customHeight="1">
      <c r="A453" s="36"/>
      <c r="B453" s="432"/>
      <c r="C453" s="432"/>
      <c r="D453" s="446"/>
      <c r="E453" s="36"/>
      <c r="F453" s="36"/>
      <c r="G453" s="432"/>
      <c r="H453" s="432"/>
      <c r="I453" s="36"/>
      <c r="J453" s="36"/>
      <c r="K453" s="36"/>
      <c r="L453" s="450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75" customHeight="1">
      <c r="A454" s="36"/>
      <c r="B454" s="432"/>
      <c r="C454" s="432"/>
      <c r="D454" s="446"/>
      <c r="E454" s="36"/>
      <c r="F454" s="36"/>
      <c r="G454" s="432"/>
      <c r="H454" s="432"/>
      <c r="I454" s="36"/>
      <c r="J454" s="36"/>
      <c r="K454" s="36"/>
      <c r="L454" s="450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75" customHeight="1">
      <c r="A455" s="36"/>
      <c r="B455" s="432"/>
      <c r="C455" s="432"/>
      <c r="D455" s="446"/>
      <c r="E455" s="36"/>
      <c r="F455" s="36"/>
      <c r="G455" s="432"/>
      <c r="H455" s="432"/>
      <c r="I455" s="36"/>
      <c r="J455" s="36"/>
      <c r="K455" s="36"/>
      <c r="L455" s="450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75" customHeight="1">
      <c r="A456" s="36"/>
      <c r="B456" s="432"/>
      <c r="C456" s="432"/>
      <c r="D456" s="446"/>
      <c r="E456" s="36"/>
      <c r="F456" s="36"/>
      <c r="G456" s="432"/>
      <c r="H456" s="432"/>
      <c r="I456" s="36"/>
      <c r="J456" s="36"/>
      <c r="K456" s="36"/>
      <c r="L456" s="450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75" customHeight="1">
      <c r="A457" s="36"/>
      <c r="B457" s="432"/>
      <c r="C457" s="432"/>
      <c r="D457" s="446"/>
      <c r="E457" s="36"/>
      <c r="F457" s="36"/>
      <c r="G457" s="432"/>
      <c r="H457" s="432"/>
      <c r="I457" s="36"/>
      <c r="J457" s="36"/>
      <c r="K457" s="36"/>
      <c r="L457" s="450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75" customHeight="1">
      <c r="A458" s="36"/>
      <c r="B458" s="432"/>
      <c r="C458" s="432"/>
      <c r="D458" s="446"/>
      <c r="E458" s="36"/>
      <c r="F458" s="36"/>
      <c r="G458" s="432"/>
      <c r="H458" s="432"/>
      <c r="I458" s="36"/>
      <c r="J458" s="36"/>
      <c r="K458" s="36"/>
      <c r="L458" s="450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75" customHeight="1">
      <c r="A459" s="36"/>
      <c r="B459" s="432"/>
      <c r="C459" s="432"/>
      <c r="D459" s="446"/>
      <c r="E459" s="36"/>
      <c r="F459" s="36"/>
      <c r="G459" s="432"/>
      <c r="H459" s="432"/>
      <c r="I459" s="36"/>
      <c r="J459" s="36"/>
      <c r="K459" s="36"/>
      <c r="L459" s="450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75" customHeight="1">
      <c r="A460" s="36"/>
      <c r="B460" s="432"/>
      <c r="C460" s="432"/>
      <c r="D460" s="446"/>
      <c r="E460" s="36"/>
      <c r="F460" s="36"/>
      <c r="G460" s="432"/>
      <c r="H460" s="432"/>
      <c r="I460" s="36"/>
      <c r="J460" s="36"/>
      <c r="K460" s="36"/>
      <c r="L460" s="450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75" customHeight="1">
      <c r="A461" s="36"/>
      <c r="B461" s="432"/>
      <c r="C461" s="432"/>
      <c r="D461" s="446"/>
      <c r="E461" s="36"/>
      <c r="F461" s="36"/>
      <c r="G461" s="432"/>
      <c r="H461" s="432"/>
      <c r="I461" s="36"/>
      <c r="J461" s="36"/>
      <c r="K461" s="36"/>
      <c r="L461" s="450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75" customHeight="1">
      <c r="A462" s="36"/>
      <c r="B462" s="432"/>
      <c r="C462" s="432"/>
      <c r="D462" s="446"/>
      <c r="E462" s="36"/>
      <c r="F462" s="36"/>
      <c r="G462" s="432"/>
      <c r="H462" s="432"/>
      <c r="I462" s="36"/>
      <c r="J462" s="36"/>
      <c r="K462" s="36"/>
      <c r="L462" s="450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75" customHeight="1">
      <c r="A463" s="36"/>
      <c r="B463" s="432"/>
      <c r="C463" s="432"/>
      <c r="D463" s="446"/>
      <c r="E463" s="36"/>
      <c r="F463" s="36"/>
      <c r="G463" s="432"/>
      <c r="H463" s="432"/>
      <c r="I463" s="36"/>
      <c r="J463" s="36"/>
      <c r="K463" s="36"/>
      <c r="L463" s="450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75" customHeight="1">
      <c r="A464" s="36"/>
      <c r="B464" s="432"/>
      <c r="C464" s="432"/>
      <c r="D464" s="446"/>
      <c r="E464" s="36"/>
      <c r="F464" s="36"/>
      <c r="G464" s="432"/>
      <c r="H464" s="432"/>
      <c r="I464" s="36"/>
      <c r="J464" s="36"/>
      <c r="K464" s="36"/>
      <c r="L464" s="450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75" customHeight="1">
      <c r="A465" s="36"/>
      <c r="B465" s="432"/>
      <c r="C465" s="432"/>
      <c r="D465" s="446"/>
      <c r="E465" s="36"/>
      <c r="F465" s="36"/>
      <c r="G465" s="432"/>
      <c r="H465" s="432"/>
      <c r="I465" s="36"/>
      <c r="J465" s="36"/>
      <c r="K465" s="36"/>
      <c r="L465" s="450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75" customHeight="1">
      <c r="A466" s="36"/>
      <c r="B466" s="432"/>
      <c r="C466" s="432"/>
      <c r="D466" s="446"/>
      <c r="E466" s="36"/>
      <c r="F466" s="36"/>
      <c r="G466" s="432"/>
      <c r="H466" s="432"/>
      <c r="I466" s="36"/>
      <c r="J466" s="36"/>
      <c r="K466" s="36"/>
      <c r="L466" s="450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75" customHeight="1">
      <c r="A467" s="36"/>
      <c r="B467" s="432"/>
      <c r="C467" s="432"/>
      <c r="D467" s="446"/>
      <c r="E467" s="36"/>
      <c r="F467" s="36"/>
      <c r="G467" s="432"/>
      <c r="H467" s="432"/>
      <c r="I467" s="36"/>
      <c r="J467" s="36"/>
      <c r="K467" s="36"/>
      <c r="L467" s="450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75" customHeight="1">
      <c r="A468" s="36"/>
      <c r="B468" s="432"/>
      <c r="C468" s="432"/>
      <c r="D468" s="446"/>
      <c r="E468" s="36"/>
      <c r="F468" s="36"/>
      <c r="G468" s="432"/>
      <c r="H468" s="432"/>
      <c r="I468" s="36"/>
      <c r="J468" s="36"/>
      <c r="K468" s="36"/>
      <c r="L468" s="450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75" customHeight="1">
      <c r="A469" s="36"/>
      <c r="B469" s="432"/>
      <c r="C469" s="432"/>
      <c r="D469" s="446"/>
      <c r="E469" s="36"/>
      <c r="F469" s="36"/>
      <c r="G469" s="432"/>
      <c r="H469" s="432"/>
      <c r="I469" s="36"/>
      <c r="J469" s="36"/>
      <c r="K469" s="36"/>
      <c r="L469" s="450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75" customHeight="1">
      <c r="A470" s="36"/>
      <c r="B470" s="432"/>
      <c r="C470" s="432"/>
      <c r="D470" s="446"/>
      <c r="E470" s="36"/>
      <c r="F470" s="36"/>
      <c r="G470" s="432"/>
      <c r="H470" s="432"/>
      <c r="I470" s="36"/>
      <c r="J470" s="36"/>
      <c r="K470" s="36"/>
      <c r="L470" s="450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75" customHeight="1">
      <c r="A471" s="36"/>
      <c r="B471" s="432"/>
      <c r="C471" s="432"/>
      <c r="D471" s="446"/>
      <c r="E471" s="36"/>
      <c r="F471" s="36"/>
      <c r="G471" s="432"/>
      <c r="H471" s="432"/>
      <c r="I471" s="36"/>
      <c r="J471" s="36"/>
      <c r="K471" s="36"/>
      <c r="L471" s="450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75" customHeight="1">
      <c r="A472" s="36"/>
      <c r="B472" s="432"/>
      <c r="C472" s="432"/>
      <c r="D472" s="446"/>
      <c r="E472" s="36"/>
      <c r="F472" s="36"/>
      <c r="G472" s="432"/>
      <c r="H472" s="432"/>
      <c r="I472" s="36"/>
      <c r="J472" s="36"/>
      <c r="K472" s="36"/>
      <c r="L472" s="450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75" customHeight="1">
      <c r="A473" s="36"/>
      <c r="B473" s="432"/>
      <c r="C473" s="432"/>
      <c r="D473" s="446"/>
      <c r="E473" s="36"/>
      <c r="F473" s="36"/>
      <c r="G473" s="432"/>
      <c r="H473" s="432"/>
      <c r="I473" s="36"/>
      <c r="J473" s="36"/>
      <c r="K473" s="36"/>
      <c r="L473" s="450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75" customHeight="1">
      <c r="A474" s="36"/>
      <c r="B474" s="432"/>
      <c r="C474" s="432"/>
      <c r="D474" s="446"/>
      <c r="E474" s="36"/>
      <c r="F474" s="36"/>
      <c r="G474" s="432"/>
      <c r="H474" s="432"/>
      <c r="I474" s="36"/>
      <c r="J474" s="36"/>
      <c r="K474" s="36"/>
      <c r="L474" s="450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75" customHeight="1">
      <c r="A475" s="36"/>
      <c r="B475" s="432"/>
      <c r="C475" s="432"/>
      <c r="D475" s="446"/>
      <c r="E475" s="36"/>
      <c r="F475" s="36"/>
      <c r="G475" s="432"/>
      <c r="H475" s="432"/>
      <c r="I475" s="36"/>
      <c r="J475" s="36"/>
      <c r="K475" s="36"/>
      <c r="L475" s="450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75" customHeight="1">
      <c r="A476" s="36"/>
      <c r="B476" s="432"/>
      <c r="C476" s="432"/>
      <c r="D476" s="446"/>
      <c r="E476" s="36"/>
      <c r="F476" s="36"/>
      <c r="G476" s="432"/>
      <c r="H476" s="432"/>
      <c r="I476" s="36"/>
      <c r="J476" s="36"/>
      <c r="K476" s="36"/>
      <c r="L476" s="450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75" customHeight="1">
      <c r="A477" s="36"/>
      <c r="B477" s="432"/>
      <c r="C477" s="432"/>
      <c r="D477" s="446"/>
      <c r="E477" s="36"/>
      <c r="F477" s="36"/>
      <c r="G477" s="432"/>
      <c r="H477" s="432"/>
      <c r="I477" s="36"/>
      <c r="J477" s="36"/>
      <c r="K477" s="36"/>
      <c r="L477" s="450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75" customHeight="1">
      <c r="A478" s="36"/>
      <c r="B478" s="432"/>
      <c r="C478" s="432"/>
      <c r="D478" s="446"/>
      <c r="E478" s="36"/>
      <c r="F478" s="36"/>
      <c r="G478" s="432"/>
      <c r="H478" s="432"/>
      <c r="I478" s="36"/>
      <c r="J478" s="36"/>
      <c r="K478" s="36"/>
      <c r="L478" s="450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75" customHeight="1">
      <c r="A479" s="36"/>
      <c r="B479" s="432"/>
      <c r="C479" s="432"/>
      <c r="D479" s="446"/>
      <c r="E479" s="36"/>
      <c r="F479" s="36"/>
      <c r="G479" s="432"/>
      <c r="H479" s="432"/>
      <c r="I479" s="36"/>
      <c r="J479" s="36"/>
      <c r="K479" s="36"/>
      <c r="L479" s="450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75" customHeight="1">
      <c r="A480" s="36"/>
      <c r="B480" s="432"/>
      <c r="C480" s="432"/>
      <c r="D480" s="446"/>
      <c r="E480" s="36"/>
      <c r="F480" s="36"/>
      <c r="G480" s="432"/>
      <c r="H480" s="432"/>
      <c r="I480" s="36"/>
      <c r="J480" s="36"/>
      <c r="K480" s="36"/>
      <c r="L480" s="450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75" customHeight="1">
      <c r="A481" s="36"/>
      <c r="B481" s="432"/>
      <c r="C481" s="432"/>
      <c r="D481" s="446"/>
      <c r="E481" s="36"/>
      <c r="F481" s="36"/>
      <c r="G481" s="432"/>
      <c r="H481" s="432"/>
      <c r="I481" s="36"/>
      <c r="J481" s="36"/>
      <c r="K481" s="36"/>
      <c r="L481" s="450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75" customHeight="1">
      <c r="A482" s="36"/>
      <c r="B482" s="432"/>
      <c r="C482" s="432"/>
      <c r="D482" s="446"/>
      <c r="E482" s="36"/>
      <c r="F482" s="36"/>
      <c r="G482" s="432"/>
      <c r="H482" s="432"/>
      <c r="I482" s="36"/>
      <c r="J482" s="36"/>
      <c r="K482" s="36"/>
      <c r="L482" s="450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75" customHeight="1">
      <c r="A483" s="36"/>
      <c r="B483" s="432"/>
      <c r="C483" s="432"/>
      <c r="D483" s="446"/>
      <c r="E483" s="36"/>
      <c r="F483" s="36"/>
      <c r="G483" s="432"/>
      <c r="H483" s="432"/>
      <c r="I483" s="36"/>
      <c r="J483" s="36"/>
      <c r="K483" s="36"/>
      <c r="L483" s="450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75" customHeight="1">
      <c r="A484" s="36"/>
      <c r="B484" s="432"/>
      <c r="C484" s="432"/>
      <c r="D484" s="446"/>
      <c r="E484" s="36"/>
      <c r="F484" s="36"/>
      <c r="G484" s="432"/>
      <c r="H484" s="432"/>
      <c r="I484" s="36"/>
      <c r="J484" s="36"/>
      <c r="K484" s="36"/>
      <c r="L484" s="450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75" customHeight="1">
      <c r="A485" s="36"/>
      <c r="B485" s="432"/>
      <c r="C485" s="432"/>
      <c r="D485" s="446"/>
      <c r="E485" s="36"/>
      <c r="F485" s="36"/>
      <c r="G485" s="432"/>
      <c r="H485" s="432"/>
      <c r="I485" s="36"/>
      <c r="J485" s="36"/>
      <c r="K485" s="36"/>
      <c r="L485" s="450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75" customHeight="1">
      <c r="A486" s="36"/>
      <c r="B486" s="432"/>
      <c r="C486" s="432"/>
      <c r="D486" s="446"/>
      <c r="E486" s="36"/>
      <c r="F486" s="36"/>
      <c r="G486" s="432"/>
      <c r="H486" s="432"/>
      <c r="I486" s="36"/>
      <c r="J486" s="36"/>
      <c r="K486" s="36"/>
      <c r="L486" s="450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75" customHeight="1">
      <c r="A487" s="36"/>
      <c r="B487" s="432"/>
      <c r="C487" s="432"/>
      <c r="D487" s="446"/>
      <c r="E487" s="36"/>
      <c r="F487" s="36"/>
      <c r="G487" s="432"/>
      <c r="H487" s="432"/>
      <c r="I487" s="36"/>
      <c r="J487" s="36"/>
      <c r="K487" s="36"/>
      <c r="L487" s="450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75" customHeight="1">
      <c r="A488" s="36"/>
      <c r="B488" s="432"/>
      <c r="C488" s="432"/>
      <c r="D488" s="446"/>
      <c r="E488" s="36"/>
      <c r="F488" s="36"/>
      <c r="G488" s="432"/>
      <c r="H488" s="432"/>
      <c r="I488" s="36"/>
      <c r="J488" s="36"/>
      <c r="K488" s="36"/>
      <c r="L488" s="450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75" customHeight="1">
      <c r="A489" s="36"/>
      <c r="B489" s="432"/>
      <c r="C489" s="432"/>
      <c r="D489" s="446"/>
      <c r="E489" s="36"/>
      <c r="F489" s="36"/>
      <c r="G489" s="432"/>
      <c r="H489" s="432"/>
      <c r="I489" s="36"/>
      <c r="J489" s="36"/>
      <c r="K489" s="36"/>
      <c r="L489" s="450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75" customHeight="1">
      <c r="A490" s="36"/>
      <c r="B490" s="432"/>
      <c r="C490" s="432"/>
      <c r="D490" s="446"/>
      <c r="E490" s="36"/>
      <c r="F490" s="36"/>
      <c r="G490" s="432"/>
      <c r="H490" s="432"/>
      <c r="I490" s="36"/>
      <c r="J490" s="36"/>
      <c r="K490" s="36"/>
      <c r="L490" s="450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75" customHeight="1">
      <c r="A491" s="36"/>
      <c r="B491" s="432"/>
      <c r="C491" s="432"/>
      <c r="D491" s="446"/>
      <c r="E491" s="36"/>
      <c r="F491" s="36"/>
      <c r="G491" s="432"/>
      <c r="H491" s="432"/>
      <c r="I491" s="36"/>
      <c r="J491" s="36"/>
      <c r="K491" s="36"/>
      <c r="L491" s="450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75" customHeight="1">
      <c r="A492" s="36"/>
      <c r="B492" s="432"/>
      <c r="C492" s="432"/>
      <c r="D492" s="446"/>
      <c r="E492" s="36"/>
      <c r="F492" s="36"/>
      <c r="G492" s="432"/>
      <c r="H492" s="432"/>
      <c r="I492" s="36"/>
      <c r="J492" s="36"/>
      <c r="K492" s="36"/>
      <c r="L492" s="450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75" customHeight="1">
      <c r="A493" s="36"/>
      <c r="B493" s="432"/>
      <c r="C493" s="432"/>
      <c r="D493" s="446"/>
      <c r="E493" s="36"/>
      <c r="F493" s="36"/>
      <c r="G493" s="432"/>
      <c r="H493" s="432"/>
      <c r="I493" s="36"/>
      <c r="J493" s="36"/>
      <c r="K493" s="36"/>
      <c r="L493" s="450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75" customHeight="1">
      <c r="A494" s="36"/>
      <c r="B494" s="432"/>
      <c r="C494" s="432"/>
      <c r="D494" s="446"/>
      <c r="E494" s="36"/>
      <c r="F494" s="36"/>
      <c r="G494" s="432"/>
      <c r="H494" s="432"/>
      <c r="I494" s="36"/>
      <c r="J494" s="36"/>
      <c r="K494" s="36"/>
      <c r="L494" s="450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75" customHeight="1">
      <c r="A495" s="36"/>
      <c r="B495" s="432"/>
      <c r="C495" s="432"/>
      <c r="D495" s="446"/>
      <c r="E495" s="36"/>
      <c r="F495" s="36"/>
      <c r="G495" s="432"/>
      <c r="H495" s="432"/>
      <c r="I495" s="36"/>
      <c r="J495" s="36"/>
      <c r="K495" s="36"/>
      <c r="L495" s="450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75" customHeight="1">
      <c r="A496" s="36"/>
      <c r="B496" s="432"/>
      <c r="C496" s="432"/>
      <c r="D496" s="446"/>
      <c r="E496" s="36"/>
      <c r="F496" s="36"/>
      <c r="G496" s="432"/>
      <c r="H496" s="432"/>
      <c r="I496" s="36"/>
      <c r="J496" s="36"/>
      <c r="K496" s="36"/>
      <c r="L496" s="450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75" customHeight="1">
      <c r="A497" s="36"/>
      <c r="B497" s="432"/>
      <c r="C497" s="432"/>
      <c r="D497" s="446"/>
      <c r="E497" s="36"/>
      <c r="F497" s="36"/>
      <c r="G497" s="432"/>
      <c r="H497" s="432"/>
      <c r="I497" s="36"/>
      <c r="J497" s="36"/>
      <c r="K497" s="36"/>
      <c r="L497" s="450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75" customHeight="1">
      <c r="A498" s="36"/>
      <c r="B498" s="432"/>
      <c r="C498" s="432"/>
      <c r="D498" s="446"/>
      <c r="E498" s="36"/>
      <c r="F498" s="36"/>
      <c r="G498" s="432"/>
      <c r="H498" s="432"/>
      <c r="I498" s="36"/>
      <c r="J498" s="36"/>
      <c r="K498" s="36"/>
      <c r="L498" s="450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75" customHeight="1">
      <c r="A499" s="36"/>
      <c r="B499" s="432"/>
      <c r="C499" s="432"/>
      <c r="D499" s="446"/>
      <c r="E499" s="36"/>
      <c r="F499" s="36"/>
      <c r="G499" s="432"/>
      <c r="H499" s="432"/>
      <c r="I499" s="36"/>
      <c r="J499" s="36"/>
      <c r="K499" s="36"/>
      <c r="L499" s="450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75" customHeight="1">
      <c r="A500" s="36"/>
      <c r="B500" s="432"/>
      <c r="C500" s="432"/>
      <c r="D500" s="446"/>
      <c r="E500" s="36"/>
      <c r="F500" s="36"/>
      <c r="G500" s="432"/>
      <c r="H500" s="432"/>
      <c r="I500" s="36"/>
      <c r="J500" s="36"/>
      <c r="K500" s="36"/>
      <c r="L500" s="450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75" customHeight="1">
      <c r="A501" s="36"/>
      <c r="B501" s="432"/>
      <c r="C501" s="432"/>
      <c r="D501" s="446"/>
      <c r="E501" s="36"/>
      <c r="F501" s="36"/>
      <c r="G501" s="432"/>
      <c r="H501" s="432"/>
      <c r="I501" s="36"/>
      <c r="J501" s="36"/>
      <c r="K501" s="36"/>
      <c r="L501" s="450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75" customHeight="1">
      <c r="A502" s="36"/>
      <c r="B502" s="432"/>
      <c r="C502" s="432"/>
      <c r="D502" s="446"/>
      <c r="E502" s="36"/>
      <c r="F502" s="36"/>
      <c r="G502" s="432"/>
      <c r="H502" s="432"/>
      <c r="I502" s="36"/>
      <c r="J502" s="36"/>
      <c r="K502" s="36"/>
      <c r="L502" s="450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75" customHeight="1">
      <c r="A503" s="36"/>
      <c r="B503" s="432"/>
      <c r="C503" s="432"/>
      <c r="D503" s="446"/>
      <c r="E503" s="36"/>
      <c r="F503" s="36"/>
      <c r="G503" s="432"/>
      <c r="H503" s="432"/>
      <c r="I503" s="36"/>
      <c r="J503" s="36"/>
      <c r="K503" s="36"/>
      <c r="L503" s="450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75" customHeight="1">
      <c r="A504" s="36"/>
      <c r="B504" s="432"/>
      <c r="C504" s="432"/>
      <c r="D504" s="446"/>
      <c r="E504" s="36"/>
      <c r="F504" s="36"/>
      <c r="G504" s="432"/>
      <c r="H504" s="432"/>
      <c r="I504" s="36"/>
      <c r="J504" s="36"/>
      <c r="K504" s="36"/>
      <c r="L504" s="450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75" customHeight="1">
      <c r="A505" s="36"/>
      <c r="B505" s="432"/>
      <c r="C505" s="432"/>
      <c r="D505" s="446"/>
      <c r="E505" s="36"/>
      <c r="F505" s="36"/>
      <c r="G505" s="432"/>
      <c r="H505" s="432"/>
      <c r="I505" s="36"/>
      <c r="J505" s="36"/>
      <c r="K505" s="36"/>
      <c r="L505" s="450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75" customHeight="1">
      <c r="A506" s="36"/>
      <c r="B506" s="432"/>
      <c r="C506" s="432"/>
      <c r="D506" s="446"/>
      <c r="E506" s="36"/>
      <c r="F506" s="36"/>
      <c r="G506" s="432"/>
      <c r="H506" s="432"/>
      <c r="I506" s="36"/>
      <c r="J506" s="36"/>
      <c r="K506" s="36"/>
      <c r="L506" s="450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75" customHeight="1">
      <c r="A507" s="36"/>
      <c r="B507" s="432"/>
      <c r="C507" s="432"/>
      <c r="D507" s="446"/>
      <c r="E507" s="36"/>
      <c r="F507" s="36"/>
      <c r="G507" s="432"/>
      <c r="H507" s="432"/>
      <c r="I507" s="36"/>
      <c r="J507" s="36"/>
      <c r="K507" s="36"/>
      <c r="L507" s="450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75" customHeight="1">
      <c r="A508" s="36"/>
      <c r="B508" s="432"/>
      <c r="C508" s="432"/>
      <c r="D508" s="446"/>
      <c r="E508" s="36"/>
      <c r="F508" s="36"/>
      <c r="G508" s="432"/>
      <c r="H508" s="432"/>
      <c r="I508" s="36"/>
      <c r="J508" s="36"/>
      <c r="K508" s="36"/>
      <c r="L508" s="450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75" customHeight="1">
      <c r="A509" s="36"/>
      <c r="B509" s="432"/>
      <c r="C509" s="432"/>
      <c r="D509" s="446"/>
      <c r="E509" s="36"/>
      <c r="F509" s="36"/>
      <c r="G509" s="432"/>
      <c r="H509" s="432"/>
      <c r="I509" s="36"/>
      <c r="J509" s="36"/>
      <c r="K509" s="36"/>
      <c r="L509" s="450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75" customHeight="1">
      <c r="A510" s="36"/>
      <c r="B510" s="432"/>
      <c r="C510" s="432"/>
      <c r="D510" s="446"/>
      <c r="E510" s="36"/>
      <c r="F510" s="36"/>
      <c r="G510" s="432"/>
      <c r="H510" s="432"/>
      <c r="I510" s="36"/>
      <c r="J510" s="36"/>
      <c r="K510" s="36"/>
      <c r="L510" s="450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75" customHeight="1">
      <c r="A511" s="36"/>
      <c r="B511" s="432"/>
      <c r="C511" s="432"/>
      <c r="D511" s="446"/>
      <c r="E511" s="36"/>
      <c r="F511" s="36"/>
      <c r="G511" s="432"/>
      <c r="H511" s="432"/>
      <c r="I511" s="36"/>
      <c r="J511" s="36"/>
      <c r="K511" s="36"/>
      <c r="L511" s="450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75" customHeight="1">
      <c r="A512" s="36"/>
      <c r="B512" s="432"/>
      <c r="C512" s="432"/>
      <c r="D512" s="446"/>
      <c r="E512" s="36"/>
      <c r="F512" s="36"/>
      <c r="G512" s="432"/>
      <c r="H512" s="432"/>
      <c r="I512" s="36"/>
      <c r="J512" s="36"/>
      <c r="K512" s="36"/>
      <c r="L512" s="450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75" customHeight="1">
      <c r="A513" s="36"/>
      <c r="B513" s="432"/>
      <c r="C513" s="432"/>
      <c r="D513" s="446"/>
      <c r="E513" s="36"/>
      <c r="F513" s="36"/>
      <c r="G513" s="432"/>
      <c r="H513" s="432"/>
      <c r="I513" s="36"/>
      <c r="J513" s="36"/>
      <c r="K513" s="36"/>
      <c r="L513" s="450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75" customHeight="1">
      <c r="A514" s="36"/>
      <c r="B514" s="432"/>
      <c r="C514" s="432"/>
      <c r="D514" s="446"/>
      <c r="E514" s="36"/>
      <c r="F514" s="36"/>
      <c r="G514" s="432"/>
      <c r="H514" s="432"/>
      <c r="I514" s="36"/>
      <c r="J514" s="36"/>
      <c r="K514" s="36"/>
      <c r="L514" s="450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75" customHeight="1">
      <c r="A515" s="36"/>
      <c r="B515" s="432"/>
      <c r="C515" s="432"/>
      <c r="D515" s="446"/>
      <c r="E515" s="36"/>
      <c r="F515" s="36"/>
      <c r="G515" s="432"/>
      <c r="H515" s="432"/>
      <c r="I515" s="36"/>
      <c r="J515" s="36"/>
      <c r="K515" s="36"/>
      <c r="L515" s="450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75" customHeight="1">
      <c r="A516" s="36"/>
      <c r="B516" s="432"/>
      <c r="C516" s="432"/>
      <c r="D516" s="446"/>
      <c r="E516" s="36"/>
      <c r="F516" s="36"/>
      <c r="G516" s="432"/>
      <c r="H516" s="432"/>
      <c r="I516" s="36"/>
      <c r="J516" s="36"/>
      <c r="K516" s="36"/>
      <c r="L516" s="450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75" customHeight="1">
      <c r="A517" s="36"/>
      <c r="B517" s="432"/>
      <c r="C517" s="432"/>
      <c r="D517" s="446"/>
      <c r="E517" s="36"/>
      <c r="F517" s="36"/>
      <c r="G517" s="432"/>
      <c r="H517" s="432"/>
      <c r="I517" s="36"/>
      <c r="J517" s="36"/>
      <c r="K517" s="36"/>
      <c r="L517" s="450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75" customHeight="1">
      <c r="A518" s="36"/>
      <c r="B518" s="432"/>
      <c r="C518" s="432"/>
      <c r="D518" s="446"/>
      <c r="E518" s="36"/>
      <c r="F518" s="36"/>
      <c r="G518" s="432"/>
      <c r="H518" s="432"/>
      <c r="I518" s="36"/>
      <c r="J518" s="36"/>
      <c r="K518" s="36"/>
      <c r="L518" s="450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75" customHeight="1">
      <c r="A519" s="36"/>
      <c r="B519" s="432"/>
      <c r="C519" s="432"/>
      <c r="D519" s="446"/>
      <c r="E519" s="36"/>
      <c r="F519" s="36"/>
      <c r="G519" s="432"/>
      <c r="H519" s="432"/>
      <c r="I519" s="36"/>
      <c r="J519" s="36"/>
      <c r="K519" s="36"/>
      <c r="L519" s="450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75" customHeight="1">
      <c r="A520" s="36"/>
      <c r="B520" s="432"/>
      <c r="C520" s="432"/>
      <c r="D520" s="446"/>
      <c r="E520" s="36"/>
      <c r="F520" s="36"/>
      <c r="G520" s="432"/>
      <c r="H520" s="432"/>
      <c r="I520" s="36"/>
      <c r="J520" s="36"/>
      <c r="K520" s="36"/>
      <c r="L520" s="450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75" customHeight="1">
      <c r="A521" s="36"/>
      <c r="B521" s="432"/>
      <c r="C521" s="432"/>
      <c r="D521" s="446"/>
      <c r="E521" s="36"/>
      <c r="F521" s="36"/>
      <c r="G521" s="432"/>
      <c r="H521" s="432"/>
      <c r="I521" s="36"/>
      <c r="J521" s="36"/>
      <c r="K521" s="36"/>
      <c r="L521" s="450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75" customHeight="1">
      <c r="A522" s="36"/>
      <c r="B522" s="432"/>
      <c r="C522" s="432"/>
      <c r="D522" s="446"/>
      <c r="E522" s="36"/>
      <c r="F522" s="36"/>
      <c r="G522" s="432"/>
      <c r="H522" s="432"/>
      <c r="I522" s="36"/>
      <c r="J522" s="36"/>
      <c r="K522" s="36"/>
      <c r="L522" s="450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75" customHeight="1">
      <c r="A523" s="36"/>
      <c r="B523" s="432"/>
      <c r="C523" s="432"/>
      <c r="D523" s="446"/>
      <c r="E523" s="36"/>
      <c r="F523" s="36"/>
      <c r="G523" s="432"/>
      <c r="H523" s="432"/>
      <c r="I523" s="36"/>
      <c r="J523" s="36"/>
      <c r="K523" s="36"/>
      <c r="L523" s="450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75" customHeight="1">
      <c r="A524" s="36"/>
      <c r="B524" s="432"/>
      <c r="C524" s="432"/>
      <c r="D524" s="446"/>
      <c r="E524" s="36"/>
      <c r="F524" s="36"/>
      <c r="G524" s="432"/>
      <c r="H524" s="432"/>
      <c r="I524" s="36"/>
      <c r="J524" s="36"/>
      <c r="K524" s="36"/>
      <c r="L524" s="450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75" customHeight="1">
      <c r="A525" s="36"/>
      <c r="B525" s="432"/>
      <c r="C525" s="432"/>
      <c r="D525" s="446"/>
      <c r="E525" s="36"/>
      <c r="F525" s="36"/>
      <c r="G525" s="432"/>
      <c r="H525" s="432"/>
      <c r="I525" s="36"/>
      <c r="J525" s="36"/>
      <c r="K525" s="36"/>
      <c r="L525" s="450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75" customHeight="1">
      <c r="A526" s="36"/>
      <c r="B526" s="432"/>
      <c r="C526" s="432"/>
      <c r="D526" s="446"/>
      <c r="E526" s="36"/>
      <c r="F526" s="36"/>
      <c r="G526" s="432"/>
      <c r="H526" s="432"/>
      <c r="I526" s="36"/>
      <c r="J526" s="36"/>
      <c r="K526" s="36"/>
      <c r="L526" s="450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75" customHeight="1">
      <c r="A527" s="36"/>
      <c r="B527" s="432"/>
      <c r="C527" s="432"/>
      <c r="D527" s="446"/>
      <c r="E527" s="36"/>
      <c r="F527" s="36"/>
      <c r="G527" s="432"/>
      <c r="H527" s="432"/>
      <c r="I527" s="36"/>
      <c r="J527" s="36"/>
      <c r="K527" s="36"/>
      <c r="L527" s="450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75" customHeight="1">
      <c r="A528" s="36"/>
      <c r="B528" s="432"/>
      <c r="C528" s="432"/>
      <c r="D528" s="446"/>
      <c r="E528" s="36"/>
      <c r="F528" s="36"/>
      <c r="G528" s="432"/>
      <c r="H528" s="432"/>
      <c r="I528" s="36"/>
      <c r="J528" s="36"/>
      <c r="K528" s="36"/>
      <c r="L528" s="450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75" customHeight="1">
      <c r="A529" s="36"/>
      <c r="B529" s="432"/>
      <c r="C529" s="432"/>
      <c r="D529" s="446"/>
      <c r="E529" s="36"/>
      <c r="F529" s="36"/>
      <c r="G529" s="432"/>
      <c r="H529" s="432"/>
      <c r="I529" s="36"/>
      <c r="J529" s="36"/>
      <c r="K529" s="36"/>
      <c r="L529" s="450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75" customHeight="1">
      <c r="A530" s="36"/>
      <c r="B530" s="432"/>
      <c r="C530" s="432"/>
      <c r="D530" s="446"/>
      <c r="E530" s="36"/>
      <c r="F530" s="36"/>
      <c r="G530" s="432"/>
      <c r="H530" s="432"/>
      <c r="I530" s="36"/>
      <c r="J530" s="36"/>
      <c r="K530" s="36"/>
      <c r="L530" s="450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75" customHeight="1">
      <c r="A531" s="36"/>
      <c r="B531" s="432"/>
      <c r="C531" s="432"/>
      <c r="D531" s="446"/>
      <c r="E531" s="36"/>
      <c r="F531" s="36"/>
      <c r="G531" s="432"/>
      <c r="H531" s="432"/>
      <c r="I531" s="36"/>
      <c r="J531" s="36"/>
      <c r="K531" s="36"/>
      <c r="L531" s="450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75" customHeight="1">
      <c r="A532" s="36"/>
      <c r="B532" s="432"/>
      <c r="C532" s="432"/>
      <c r="D532" s="446"/>
      <c r="E532" s="36"/>
      <c r="F532" s="36"/>
      <c r="G532" s="432"/>
      <c r="H532" s="432"/>
      <c r="I532" s="36"/>
      <c r="J532" s="36"/>
      <c r="K532" s="36"/>
      <c r="L532" s="450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75" customHeight="1">
      <c r="A533" s="36"/>
      <c r="B533" s="432"/>
      <c r="C533" s="432"/>
      <c r="D533" s="446"/>
      <c r="E533" s="36"/>
      <c r="F533" s="36"/>
      <c r="G533" s="432"/>
      <c r="H533" s="432"/>
      <c r="I533" s="36"/>
      <c r="J533" s="36"/>
      <c r="K533" s="36"/>
      <c r="L533" s="450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75" customHeight="1">
      <c r="A534" s="36"/>
      <c r="B534" s="432"/>
      <c r="C534" s="432"/>
      <c r="D534" s="446"/>
      <c r="E534" s="36"/>
      <c r="F534" s="36"/>
      <c r="G534" s="432"/>
      <c r="H534" s="432"/>
      <c r="I534" s="36"/>
      <c r="J534" s="36"/>
      <c r="K534" s="36"/>
      <c r="L534" s="450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75" customHeight="1">
      <c r="A535" s="36"/>
      <c r="B535" s="432"/>
      <c r="C535" s="432"/>
      <c r="D535" s="446"/>
      <c r="E535" s="36"/>
      <c r="F535" s="36"/>
      <c r="G535" s="432"/>
      <c r="H535" s="432"/>
      <c r="I535" s="36"/>
      <c r="J535" s="36"/>
      <c r="K535" s="36"/>
      <c r="L535" s="450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75" customHeight="1">
      <c r="A536" s="36"/>
      <c r="B536" s="432"/>
      <c r="C536" s="432"/>
      <c r="D536" s="446"/>
      <c r="E536" s="36"/>
      <c r="F536" s="36"/>
      <c r="G536" s="432"/>
      <c r="H536" s="432"/>
      <c r="I536" s="36"/>
      <c r="J536" s="36"/>
      <c r="K536" s="36"/>
      <c r="L536" s="450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75" customHeight="1">
      <c r="A537" s="36"/>
      <c r="B537" s="432"/>
      <c r="C537" s="432"/>
      <c r="D537" s="446"/>
      <c r="E537" s="36"/>
      <c r="F537" s="36"/>
      <c r="G537" s="432"/>
      <c r="H537" s="432"/>
      <c r="I537" s="36"/>
      <c r="J537" s="36"/>
      <c r="K537" s="36"/>
      <c r="L537" s="450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75" customHeight="1">
      <c r="A538" s="36"/>
      <c r="B538" s="432"/>
      <c r="C538" s="432"/>
      <c r="D538" s="446"/>
      <c r="E538" s="36"/>
      <c r="F538" s="36"/>
      <c r="G538" s="432"/>
      <c r="H538" s="432"/>
      <c r="I538" s="36"/>
      <c r="J538" s="36"/>
      <c r="K538" s="36"/>
      <c r="L538" s="450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75" customHeight="1">
      <c r="A539" s="36"/>
      <c r="B539" s="432"/>
      <c r="C539" s="432"/>
      <c r="D539" s="446"/>
      <c r="E539" s="36"/>
      <c r="F539" s="36"/>
      <c r="G539" s="432"/>
      <c r="H539" s="432"/>
      <c r="I539" s="36"/>
      <c r="J539" s="36"/>
      <c r="K539" s="36"/>
      <c r="L539" s="450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75" customHeight="1">
      <c r="A540" s="36"/>
      <c r="B540" s="432"/>
      <c r="C540" s="432"/>
      <c r="D540" s="446"/>
      <c r="E540" s="36"/>
      <c r="F540" s="36"/>
      <c r="G540" s="432"/>
      <c r="H540" s="432"/>
      <c r="I540" s="36"/>
      <c r="J540" s="36"/>
      <c r="K540" s="36"/>
      <c r="L540" s="450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75" customHeight="1">
      <c r="A541" s="36"/>
      <c r="B541" s="432"/>
      <c r="C541" s="432"/>
      <c r="D541" s="446"/>
      <c r="E541" s="36"/>
      <c r="F541" s="36"/>
      <c r="G541" s="432"/>
      <c r="H541" s="432"/>
      <c r="I541" s="36"/>
      <c r="J541" s="36"/>
      <c r="K541" s="36"/>
      <c r="L541" s="450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75" customHeight="1">
      <c r="A542" s="36"/>
      <c r="B542" s="432"/>
      <c r="C542" s="432"/>
      <c r="D542" s="446"/>
      <c r="E542" s="36"/>
      <c r="F542" s="36"/>
      <c r="G542" s="432"/>
      <c r="H542" s="432"/>
      <c r="I542" s="36"/>
      <c r="J542" s="36"/>
      <c r="K542" s="36"/>
      <c r="L542" s="450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75" customHeight="1">
      <c r="A543" s="36"/>
      <c r="B543" s="432"/>
      <c r="C543" s="432"/>
      <c r="D543" s="446"/>
      <c r="E543" s="36"/>
      <c r="F543" s="36"/>
      <c r="G543" s="432"/>
      <c r="H543" s="432"/>
      <c r="I543" s="36"/>
      <c r="J543" s="36"/>
      <c r="K543" s="36"/>
      <c r="L543" s="450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75" customHeight="1">
      <c r="A544" s="36"/>
      <c r="B544" s="432"/>
      <c r="C544" s="432"/>
      <c r="D544" s="446"/>
      <c r="E544" s="36"/>
      <c r="F544" s="36"/>
      <c r="G544" s="432"/>
      <c r="H544" s="432"/>
      <c r="I544" s="36"/>
      <c r="J544" s="36"/>
      <c r="K544" s="36"/>
      <c r="L544" s="450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75" customHeight="1">
      <c r="A545" s="36"/>
      <c r="B545" s="432"/>
      <c r="C545" s="432"/>
      <c r="D545" s="446"/>
      <c r="E545" s="36"/>
      <c r="F545" s="36"/>
      <c r="G545" s="432"/>
      <c r="H545" s="432"/>
      <c r="I545" s="36"/>
      <c r="J545" s="36"/>
      <c r="K545" s="36"/>
      <c r="L545" s="450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75" customHeight="1">
      <c r="A546" s="36"/>
      <c r="B546" s="432"/>
      <c r="C546" s="432"/>
      <c r="D546" s="446"/>
      <c r="E546" s="36"/>
      <c r="F546" s="36"/>
      <c r="G546" s="432"/>
      <c r="H546" s="432"/>
      <c r="I546" s="36"/>
      <c r="J546" s="36"/>
      <c r="K546" s="36"/>
      <c r="L546" s="450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75" customHeight="1">
      <c r="A547" s="36"/>
      <c r="B547" s="432"/>
      <c r="C547" s="432"/>
      <c r="D547" s="446"/>
      <c r="E547" s="36"/>
      <c r="F547" s="36"/>
      <c r="G547" s="432"/>
      <c r="H547" s="432"/>
      <c r="I547" s="36"/>
      <c r="J547" s="36"/>
      <c r="K547" s="36"/>
      <c r="L547" s="450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75" customHeight="1">
      <c r="A548" s="36"/>
      <c r="B548" s="432"/>
      <c r="C548" s="432"/>
      <c r="D548" s="446"/>
      <c r="E548" s="36"/>
      <c r="F548" s="36"/>
      <c r="G548" s="432"/>
      <c r="H548" s="432"/>
      <c r="I548" s="36"/>
      <c r="J548" s="36"/>
      <c r="K548" s="36"/>
      <c r="L548" s="450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75" customHeight="1">
      <c r="A549" s="36"/>
      <c r="B549" s="432"/>
      <c r="C549" s="432"/>
      <c r="D549" s="446"/>
      <c r="E549" s="36"/>
      <c r="F549" s="36"/>
      <c r="G549" s="432"/>
      <c r="H549" s="432"/>
      <c r="I549" s="36"/>
      <c r="J549" s="36"/>
      <c r="K549" s="36"/>
      <c r="L549" s="450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75" customHeight="1">
      <c r="A550" s="36"/>
      <c r="B550" s="432"/>
      <c r="C550" s="432"/>
      <c r="D550" s="446"/>
      <c r="E550" s="36"/>
      <c r="F550" s="36"/>
      <c r="G550" s="432"/>
      <c r="H550" s="432"/>
      <c r="I550" s="36"/>
      <c r="J550" s="36"/>
      <c r="K550" s="36"/>
      <c r="L550" s="450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75" customHeight="1">
      <c r="A551" s="36"/>
      <c r="B551" s="432"/>
      <c r="C551" s="432"/>
      <c r="D551" s="446"/>
      <c r="E551" s="36"/>
      <c r="F551" s="36"/>
      <c r="G551" s="432"/>
      <c r="H551" s="432"/>
      <c r="I551" s="36"/>
      <c r="J551" s="36"/>
      <c r="K551" s="36"/>
      <c r="L551" s="450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75" customHeight="1">
      <c r="A552" s="36"/>
      <c r="B552" s="432"/>
      <c r="C552" s="432"/>
      <c r="D552" s="446"/>
      <c r="E552" s="36"/>
      <c r="F552" s="36"/>
      <c r="G552" s="432"/>
      <c r="H552" s="432"/>
      <c r="I552" s="36"/>
      <c r="J552" s="36"/>
      <c r="K552" s="36"/>
      <c r="L552" s="450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75" customHeight="1">
      <c r="A553" s="36"/>
      <c r="B553" s="432"/>
      <c r="C553" s="432"/>
      <c r="D553" s="446"/>
      <c r="E553" s="36"/>
      <c r="F553" s="36"/>
      <c r="G553" s="432"/>
      <c r="H553" s="432"/>
      <c r="I553" s="36"/>
      <c r="J553" s="36"/>
      <c r="K553" s="36"/>
      <c r="L553" s="450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75" customHeight="1">
      <c r="A554" s="36"/>
      <c r="B554" s="432"/>
      <c r="C554" s="432"/>
      <c r="D554" s="446"/>
      <c r="E554" s="36"/>
      <c r="F554" s="36"/>
      <c r="G554" s="432"/>
      <c r="H554" s="432"/>
      <c r="I554" s="36"/>
      <c r="J554" s="36"/>
      <c r="K554" s="36"/>
      <c r="L554" s="450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75" customHeight="1">
      <c r="A555" s="36"/>
      <c r="B555" s="432"/>
      <c r="C555" s="432"/>
      <c r="D555" s="446"/>
      <c r="E555" s="36"/>
      <c r="F555" s="36"/>
      <c r="G555" s="432"/>
      <c r="H555" s="432"/>
      <c r="I555" s="36"/>
      <c r="J555" s="36"/>
      <c r="K555" s="36"/>
      <c r="L555" s="450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75" customHeight="1">
      <c r="A556" s="36"/>
      <c r="B556" s="432"/>
      <c r="C556" s="432"/>
      <c r="D556" s="446"/>
      <c r="E556" s="36"/>
      <c r="F556" s="36"/>
      <c r="G556" s="432"/>
      <c r="H556" s="432"/>
      <c r="I556" s="36"/>
      <c r="J556" s="36"/>
      <c r="K556" s="36"/>
      <c r="L556" s="450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75" customHeight="1">
      <c r="A557" s="36"/>
      <c r="B557" s="432"/>
      <c r="C557" s="432"/>
      <c r="D557" s="446"/>
      <c r="E557" s="36"/>
      <c r="F557" s="36"/>
      <c r="G557" s="432"/>
      <c r="H557" s="432"/>
      <c r="I557" s="36"/>
      <c r="J557" s="36"/>
      <c r="K557" s="36"/>
      <c r="L557" s="450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75" customHeight="1">
      <c r="A558" s="36"/>
      <c r="B558" s="432"/>
      <c r="C558" s="432"/>
      <c r="D558" s="446"/>
      <c r="E558" s="36"/>
      <c r="F558" s="36"/>
      <c r="G558" s="432"/>
      <c r="H558" s="432"/>
      <c r="I558" s="36"/>
      <c r="J558" s="36"/>
      <c r="K558" s="36"/>
      <c r="L558" s="450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75" customHeight="1">
      <c r="A559" s="36"/>
      <c r="B559" s="432"/>
      <c r="C559" s="432"/>
      <c r="D559" s="446"/>
      <c r="E559" s="36"/>
      <c r="F559" s="36"/>
      <c r="G559" s="432"/>
      <c r="H559" s="432"/>
      <c r="I559" s="36"/>
      <c r="J559" s="36"/>
      <c r="K559" s="36"/>
      <c r="L559" s="450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75" customHeight="1">
      <c r="A560" s="36"/>
      <c r="B560" s="432"/>
      <c r="C560" s="432"/>
      <c r="D560" s="446"/>
      <c r="E560" s="36"/>
      <c r="F560" s="36"/>
      <c r="G560" s="432"/>
      <c r="H560" s="432"/>
      <c r="I560" s="36"/>
      <c r="J560" s="36"/>
      <c r="K560" s="36"/>
      <c r="L560" s="450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75" customHeight="1">
      <c r="A561" s="36"/>
      <c r="B561" s="432"/>
      <c r="C561" s="432"/>
      <c r="D561" s="446"/>
      <c r="E561" s="36"/>
      <c r="F561" s="36"/>
      <c r="G561" s="432"/>
      <c r="H561" s="432"/>
      <c r="I561" s="36"/>
      <c r="J561" s="36"/>
      <c r="K561" s="36"/>
      <c r="L561" s="450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75" customHeight="1">
      <c r="A562" s="36"/>
      <c r="B562" s="432"/>
      <c r="C562" s="432"/>
      <c r="D562" s="446"/>
      <c r="E562" s="36"/>
      <c r="F562" s="36"/>
      <c r="G562" s="432"/>
      <c r="H562" s="432"/>
      <c r="I562" s="36"/>
      <c r="J562" s="36"/>
      <c r="K562" s="36"/>
      <c r="L562" s="450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75" customHeight="1">
      <c r="A563" s="36"/>
      <c r="B563" s="432"/>
      <c r="C563" s="432"/>
      <c r="D563" s="446"/>
      <c r="E563" s="36"/>
      <c r="F563" s="36"/>
      <c r="G563" s="432"/>
      <c r="H563" s="432"/>
      <c r="I563" s="36"/>
      <c r="J563" s="36"/>
      <c r="K563" s="36"/>
      <c r="L563" s="450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75" customHeight="1">
      <c r="A564" s="36"/>
      <c r="B564" s="432"/>
      <c r="C564" s="432"/>
      <c r="D564" s="446"/>
      <c r="E564" s="36"/>
      <c r="F564" s="36"/>
      <c r="G564" s="432"/>
      <c r="H564" s="432"/>
      <c r="I564" s="36"/>
      <c r="J564" s="36"/>
      <c r="K564" s="36"/>
      <c r="L564" s="450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75" customHeight="1">
      <c r="A565" s="36"/>
      <c r="B565" s="432"/>
      <c r="C565" s="432"/>
      <c r="D565" s="446"/>
      <c r="E565" s="36"/>
      <c r="F565" s="36"/>
      <c r="G565" s="432"/>
      <c r="H565" s="432"/>
      <c r="I565" s="36"/>
      <c r="J565" s="36"/>
      <c r="K565" s="36"/>
      <c r="L565" s="450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75" customHeight="1">
      <c r="A566" s="36"/>
      <c r="B566" s="432"/>
      <c r="C566" s="432"/>
      <c r="D566" s="446"/>
      <c r="E566" s="36"/>
      <c r="F566" s="36"/>
      <c r="G566" s="432"/>
      <c r="H566" s="432"/>
      <c r="I566" s="36"/>
      <c r="J566" s="36"/>
      <c r="K566" s="36"/>
      <c r="L566" s="450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75" customHeight="1">
      <c r="A567" s="36"/>
      <c r="B567" s="432"/>
      <c r="C567" s="432"/>
      <c r="D567" s="446"/>
      <c r="E567" s="36"/>
      <c r="F567" s="36"/>
      <c r="G567" s="432"/>
      <c r="H567" s="432"/>
      <c r="I567" s="36"/>
      <c r="J567" s="36"/>
      <c r="K567" s="36"/>
      <c r="L567" s="450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75" customHeight="1">
      <c r="A568" s="36"/>
      <c r="B568" s="432"/>
      <c r="C568" s="432"/>
      <c r="D568" s="446"/>
      <c r="E568" s="36"/>
      <c r="F568" s="36"/>
      <c r="G568" s="432"/>
      <c r="H568" s="432"/>
      <c r="I568" s="36"/>
      <c r="J568" s="36"/>
      <c r="K568" s="36"/>
      <c r="L568" s="450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75" customHeight="1">
      <c r="A569" s="36"/>
      <c r="B569" s="432"/>
      <c r="C569" s="432"/>
      <c r="D569" s="446"/>
      <c r="E569" s="36"/>
      <c r="F569" s="36"/>
      <c r="G569" s="432"/>
      <c r="H569" s="432"/>
      <c r="I569" s="36"/>
      <c r="J569" s="36"/>
      <c r="K569" s="36"/>
      <c r="L569" s="450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75" customHeight="1">
      <c r="A570" s="36"/>
      <c r="B570" s="432"/>
      <c r="C570" s="432"/>
      <c r="D570" s="446"/>
      <c r="E570" s="36"/>
      <c r="F570" s="36"/>
      <c r="G570" s="432"/>
      <c r="H570" s="432"/>
      <c r="I570" s="36"/>
      <c r="J570" s="36"/>
      <c r="K570" s="36"/>
      <c r="L570" s="450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75" customHeight="1">
      <c r="A571" s="36"/>
      <c r="B571" s="432"/>
      <c r="C571" s="432"/>
      <c r="D571" s="446"/>
      <c r="E571" s="36"/>
      <c r="F571" s="36"/>
      <c r="G571" s="432"/>
      <c r="H571" s="432"/>
      <c r="I571" s="36"/>
      <c r="J571" s="36"/>
      <c r="K571" s="36"/>
      <c r="L571" s="450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75" customHeight="1">
      <c r="A572" s="36"/>
      <c r="B572" s="432"/>
      <c r="C572" s="432"/>
      <c r="D572" s="446"/>
      <c r="E572" s="36"/>
      <c r="F572" s="36"/>
      <c r="G572" s="432"/>
      <c r="H572" s="432"/>
      <c r="I572" s="36"/>
      <c r="J572" s="36"/>
      <c r="K572" s="36"/>
      <c r="L572" s="450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75" customHeight="1">
      <c r="A573" s="36"/>
      <c r="B573" s="432"/>
      <c r="C573" s="432"/>
      <c r="D573" s="446"/>
      <c r="E573" s="36"/>
      <c r="F573" s="36"/>
      <c r="G573" s="432"/>
      <c r="H573" s="432"/>
      <c r="I573" s="36"/>
      <c r="J573" s="36"/>
      <c r="K573" s="36"/>
      <c r="L573" s="450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75" customHeight="1">
      <c r="A574" s="36"/>
      <c r="B574" s="432"/>
      <c r="C574" s="432"/>
      <c r="D574" s="446"/>
      <c r="E574" s="36"/>
      <c r="F574" s="36"/>
      <c r="G574" s="432"/>
      <c r="H574" s="432"/>
      <c r="I574" s="36"/>
      <c r="J574" s="36"/>
      <c r="K574" s="36"/>
      <c r="L574" s="450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75" customHeight="1">
      <c r="A575" s="36"/>
      <c r="B575" s="432"/>
      <c r="C575" s="432"/>
      <c r="D575" s="446"/>
      <c r="E575" s="36"/>
      <c r="F575" s="36"/>
      <c r="G575" s="432"/>
      <c r="H575" s="432"/>
      <c r="I575" s="36"/>
      <c r="J575" s="36"/>
      <c r="K575" s="36"/>
      <c r="L575" s="450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75" customHeight="1">
      <c r="A576" s="36"/>
      <c r="B576" s="432"/>
      <c r="C576" s="432"/>
      <c r="D576" s="446"/>
      <c r="E576" s="36"/>
      <c r="F576" s="36"/>
      <c r="G576" s="432"/>
      <c r="H576" s="432"/>
      <c r="I576" s="36"/>
      <c r="J576" s="36"/>
      <c r="K576" s="36"/>
      <c r="L576" s="450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75" customHeight="1">
      <c r="A577" s="36"/>
      <c r="B577" s="432"/>
      <c r="C577" s="432"/>
      <c r="D577" s="446"/>
      <c r="E577" s="36"/>
      <c r="F577" s="36"/>
      <c r="G577" s="432"/>
      <c r="H577" s="432"/>
      <c r="I577" s="36"/>
      <c r="J577" s="36"/>
      <c r="K577" s="36"/>
      <c r="L577" s="450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75" customHeight="1">
      <c r="A578" s="36"/>
      <c r="B578" s="432"/>
      <c r="C578" s="432"/>
      <c r="D578" s="446"/>
      <c r="E578" s="36"/>
      <c r="F578" s="36"/>
      <c r="G578" s="432"/>
      <c r="H578" s="432"/>
      <c r="I578" s="36"/>
      <c r="J578" s="36"/>
      <c r="K578" s="36"/>
      <c r="L578" s="450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75" customHeight="1">
      <c r="A579" s="36"/>
      <c r="B579" s="432"/>
      <c r="C579" s="432"/>
      <c r="D579" s="446"/>
      <c r="E579" s="36"/>
      <c r="F579" s="36"/>
      <c r="G579" s="432"/>
      <c r="H579" s="432"/>
      <c r="I579" s="36"/>
      <c r="J579" s="36"/>
      <c r="K579" s="36"/>
      <c r="L579" s="450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75" customHeight="1">
      <c r="A580" s="36"/>
      <c r="B580" s="432"/>
      <c r="C580" s="432"/>
      <c r="D580" s="446"/>
      <c r="E580" s="36"/>
      <c r="F580" s="36"/>
      <c r="G580" s="432"/>
      <c r="H580" s="432"/>
      <c r="I580" s="36"/>
      <c r="J580" s="36"/>
      <c r="K580" s="36"/>
      <c r="L580" s="450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75" customHeight="1">
      <c r="A581" s="36"/>
      <c r="B581" s="432"/>
      <c r="C581" s="432"/>
      <c r="D581" s="446"/>
      <c r="E581" s="36"/>
      <c r="F581" s="36"/>
      <c r="G581" s="432"/>
      <c r="H581" s="432"/>
      <c r="I581" s="36"/>
      <c r="J581" s="36"/>
      <c r="K581" s="36"/>
      <c r="L581" s="450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75" customHeight="1">
      <c r="A582" s="36"/>
      <c r="B582" s="432"/>
      <c r="C582" s="432"/>
      <c r="D582" s="446"/>
      <c r="E582" s="36"/>
      <c r="F582" s="36"/>
      <c r="G582" s="432"/>
      <c r="H582" s="432"/>
      <c r="I582" s="36"/>
      <c r="J582" s="36"/>
      <c r="K582" s="36"/>
      <c r="L582" s="450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75" customHeight="1">
      <c r="A583" s="36"/>
      <c r="B583" s="432"/>
      <c r="C583" s="432"/>
      <c r="D583" s="446"/>
      <c r="E583" s="36"/>
      <c r="F583" s="36"/>
      <c r="G583" s="432"/>
      <c r="H583" s="432"/>
      <c r="I583" s="36"/>
      <c r="J583" s="36"/>
      <c r="K583" s="36"/>
      <c r="L583" s="450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75" customHeight="1">
      <c r="A584" s="36"/>
      <c r="B584" s="432"/>
      <c r="C584" s="432"/>
      <c r="D584" s="446"/>
      <c r="E584" s="36"/>
      <c r="F584" s="36"/>
      <c r="G584" s="432"/>
      <c r="H584" s="432"/>
      <c r="I584" s="36"/>
      <c r="J584" s="36"/>
      <c r="K584" s="36"/>
      <c r="L584" s="450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75" customHeight="1">
      <c r="A585" s="36"/>
      <c r="B585" s="432"/>
      <c r="C585" s="432"/>
      <c r="D585" s="446"/>
      <c r="E585" s="36"/>
      <c r="F585" s="36"/>
      <c r="G585" s="432"/>
      <c r="H585" s="432"/>
      <c r="I585" s="36"/>
      <c r="J585" s="36"/>
      <c r="K585" s="36"/>
      <c r="L585" s="450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75" customHeight="1">
      <c r="A586" s="36"/>
      <c r="B586" s="432"/>
      <c r="C586" s="432"/>
      <c r="D586" s="446"/>
      <c r="E586" s="36"/>
      <c r="F586" s="36"/>
      <c r="G586" s="432"/>
      <c r="H586" s="432"/>
      <c r="I586" s="36"/>
      <c r="J586" s="36"/>
      <c r="K586" s="36"/>
      <c r="L586" s="450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75" customHeight="1">
      <c r="A587" s="36"/>
      <c r="B587" s="432"/>
      <c r="C587" s="432"/>
      <c r="D587" s="446"/>
      <c r="E587" s="36"/>
      <c r="F587" s="36"/>
      <c r="G587" s="432"/>
      <c r="H587" s="432"/>
      <c r="I587" s="36"/>
      <c r="J587" s="36"/>
      <c r="K587" s="36"/>
      <c r="L587" s="450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75" customHeight="1">
      <c r="A588" s="36"/>
      <c r="B588" s="432"/>
      <c r="C588" s="432"/>
      <c r="D588" s="446"/>
      <c r="E588" s="36"/>
      <c r="F588" s="36"/>
      <c r="G588" s="432"/>
      <c r="H588" s="432"/>
      <c r="I588" s="36"/>
      <c r="J588" s="36"/>
      <c r="K588" s="36"/>
      <c r="L588" s="450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75" customHeight="1">
      <c r="A589" s="36"/>
      <c r="B589" s="432"/>
      <c r="C589" s="432"/>
      <c r="D589" s="446"/>
      <c r="E589" s="36"/>
      <c r="F589" s="36"/>
      <c r="G589" s="432"/>
      <c r="H589" s="432"/>
      <c r="I589" s="36"/>
      <c r="J589" s="36"/>
      <c r="K589" s="36"/>
      <c r="L589" s="450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75" customHeight="1">
      <c r="A590" s="36"/>
      <c r="B590" s="432"/>
      <c r="C590" s="432"/>
      <c r="D590" s="446"/>
      <c r="E590" s="36"/>
      <c r="F590" s="36"/>
      <c r="G590" s="432"/>
      <c r="H590" s="432"/>
      <c r="I590" s="36"/>
      <c r="J590" s="36"/>
      <c r="K590" s="36"/>
      <c r="L590" s="450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75" customHeight="1">
      <c r="A591" s="36"/>
      <c r="B591" s="432"/>
      <c r="C591" s="432"/>
      <c r="D591" s="446"/>
      <c r="E591" s="36"/>
      <c r="F591" s="36"/>
      <c r="G591" s="432"/>
      <c r="H591" s="432"/>
      <c r="I591" s="36"/>
      <c r="J591" s="36"/>
      <c r="K591" s="36"/>
      <c r="L591" s="450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75" customHeight="1">
      <c r="A592" s="36"/>
      <c r="B592" s="432"/>
      <c r="C592" s="432"/>
      <c r="D592" s="446"/>
      <c r="E592" s="36"/>
      <c r="F592" s="36"/>
      <c r="G592" s="432"/>
      <c r="H592" s="432"/>
      <c r="I592" s="36"/>
      <c r="J592" s="36"/>
      <c r="K592" s="36"/>
      <c r="L592" s="450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75" customHeight="1">
      <c r="A593" s="36"/>
      <c r="B593" s="432"/>
      <c r="C593" s="432"/>
      <c r="D593" s="446"/>
      <c r="E593" s="36"/>
      <c r="F593" s="36"/>
      <c r="G593" s="432"/>
      <c r="H593" s="432"/>
      <c r="I593" s="36"/>
      <c r="J593" s="36"/>
      <c r="K593" s="36"/>
      <c r="L593" s="450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75" customHeight="1">
      <c r="A594" s="36"/>
      <c r="B594" s="432"/>
      <c r="C594" s="432"/>
      <c r="D594" s="446"/>
      <c r="E594" s="36"/>
      <c r="F594" s="36"/>
      <c r="G594" s="432"/>
      <c r="H594" s="432"/>
      <c r="I594" s="36"/>
      <c r="J594" s="36"/>
      <c r="K594" s="36"/>
      <c r="L594" s="450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75" customHeight="1">
      <c r="A595" s="36"/>
      <c r="B595" s="432"/>
      <c r="C595" s="432"/>
      <c r="D595" s="446"/>
      <c r="E595" s="36"/>
      <c r="F595" s="36"/>
      <c r="G595" s="432"/>
      <c r="H595" s="432"/>
      <c r="I595" s="36"/>
      <c r="J595" s="36"/>
      <c r="K595" s="36"/>
      <c r="L595" s="450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75" customHeight="1">
      <c r="A596" s="36"/>
      <c r="B596" s="432"/>
      <c r="C596" s="432"/>
      <c r="D596" s="446"/>
      <c r="E596" s="36"/>
      <c r="F596" s="36"/>
      <c r="G596" s="432"/>
      <c r="H596" s="432"/>
      <c r="I596" s="36"/>
      <c r="J596" s="36"/>
      <c r="K596" s="36"/>
      <c r="L596" s="450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75" customHeight="1">
      <c r="A597" s="36"/>
      <c r="B597" s="432"/>
      <c r="C597" s="432"/>
      <c r="D597" s="446"/>
      <c r="E597" s="36"/>
      <c r="F597" s="36"/>
      <c r="G597" s="432"/>
      <c r="H597" s="432"/>
      <c r="I597" s="36"/>
      <c r="J597" s="36"/>
      <c r="K597" s="36"/>
      <c r="L597" s="450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75" customHeight="1">
      <c r="A598" s="36"/>
      <c r="B598" s="432"/>
      <c r="C598" s="432"/>
      <c r="D598" s="446"/>
      <c r="E598" s="36"/>
      <c r="F598" s="36"/>
      <c r="G598" s="432"/>
      <c r="H598" s="432"/>
      <c r="I598" s="36"/>
      <c r="J598" s="36"/>
      <c r="K598" s="36"/>
      <c r="L598" s="450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75" customHeight="1">
      <c r="A599" s="36"/>
      <c r="B599" s="432"/>
      <c r="C599" s="432"/>
      <c r="D599" s="446"/>
      <c r="E599" s="36"/>
      <c r="F599" s="36"/>
      <c r="G599" s="432"/>
      <c r="H599" s="432"/>
      <c r="I599" s="36"/>
      <c r="J599" s="36"/>
      <c r="K599" s="36"/>
      <c r="L599" s="450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75" customHeight="1">
      <c r="A600" s="36"/>
      <c r="B600" s="432"/>
      <c r="C600" s="432"/>
      <c r="D600" s="446"/>
      <c r="E600" s="36"/>
      <c r="F600" s="36"/>
      <c r="G600" s="432"/>
      <c r="H600" s="432"/>
      <c r="I600" s="36"/>
      <c r="J600" s="36"/>
      <c r="K600" s="36"/>
      <c r="L600" s="450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75" customHeight="1">
      <c r="A601" s="36"/>
      <c r="B601" s="432"/>
      <c r="C601" s="432"/>
      <c r="D601" s="446"/>
      <c r="E601" s="36"/>
      <c r="F601" s="36"/>
      <c r="G601" s="432"/>
      <c r="H601" s="432"/>
      <c r="I601" s="36"/>
      <c r="J601" s="36"/>
      <c r="K601" s="36"/>
      <c r="L601" s="450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75" customHeight="1">
      <c r="A602" s="36"/>
      <c r="B602" s="432"/>
      <c r="C602" s="432"/>
      <c r="D602" s="446"/>
      <c r="E602" s="36"/>
      <c r="F602" s="36"/>
      <c r="G602" s="432"/>
      <c r="H602" s="432"/>
      <c r="I602" s="36"/>
      <c r="J602" s="36"/>
      <c r="K602" s="36"/>
      <c r="L602" s="450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75" customHeight="1">
      <c r="A603" s="36"/>
      <c r="B603" s="432"/>
      <c r="C603" s="432"/>
      <c r="D603" s="446"/>
      <c r="E603" s="36"/>
      <c r="F603" s="36"/>
      <c r="G603" s="432"/>
      <c r="H603" s="432"/>
      <c r="I603" s="36"/>
      <c r="J603" s="36"/>
      <c r="K603" s="36"/>
      <c r="L603" s="450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75" customHeight="1">
      <c r="A604" s="36"/>
      <c r="B604" s="432"/>
      <c r="C604" s="432"/>
      <c r="D604" s="446"/>
      <c r="E604" s="36"/>
      <c r="F604" s="36"/>
      <c r="G604" s="432"/>
      <c r="H604" s="432"/>
      <c r="I604" s="36"/>
      <c r="J604" s="36"/>
      <c r="K604" s="36"/>
      <c r="L604" s="450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75" customHeight="1">
      <c r="A605" s="36"/>
      <c r="B605" s="432"/>
      <c r="C605" s="432"/>
      <c r="D605" s="446"/>
      <c r="E605" s="36"/>
      <c r="F605" s="36"/>
      <c r="G605" s="432"/>
      <c r="H605" s="432"/>
      <c r="I605" s="36"/>
      <c r="J605" s="36"/>
      <c r="K605" s="36"/>
      <c r="L605" s="450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75" customHeight="1">
      <c r="A606" s="36"/>
      <c r="B606" s="432"/>
      <c r="C606" s="432"/>
      <c r="D606" s="446"/>
      <c r="E606" s="36"/>
      <c r="F606" s="36"/>
      <c r="G606" s="432"/>
      <c r="H606" s="432"/>
      <c r="I606" s="36"/>
      <c r="J606" s="36"/>
      <c r="K606" s="36"/>
      <c r="L606" s="450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75" customHeight="1">
      <c r="A607" s="36"/>
      <c r="B607" s="432"/>
      <c r="C607" s="432"/>
      <c r="D607" s="446"/>
      <c r="E607" s="36"/>
      <c r="F607" s="36"/>
      <c r="G607" s="432"/>
      <c r="H607" s="432"/>
      <c r="I607" s="36"/>
      <c r="J607" s="36"/>
      <c r="K607" s="36"/>
      <c r="L607" s="450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75" customHeight="1">
      <c r="A608" s="36"/>
      <c r="B608" s="432"/>
      <c r="C608" s="432"/>
      <c r="D608" s="446"/>
      <c r="E608" s="36"/>
      <c r="F608" s="36"/>
      <c r="G608" s="432"/>
      <c r="H608" s="432"/>
      <c r="I608" s="36"/>
      <c r="J608" s="36"/>
      <c r="K608" s="36"/>
      <c r="L608" s="450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75" customHeight="1">
      <c r="A609" s="36"/>
      <c r="B609" s="432"/>
      <c r="C609" s="432"/>
      <c r="D609" s="446"/>
      <c r="E609" s="36"/>
      <c r="F609" s="36"/>
      <c r="G609" s="432"/>
      <c r="H609" s="432"/>
      <c r="I609" s="36"/>
      <c r="J609" s="36"/>
      <c r="K609" s="36"/>
      <c r="L609" s="450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75" customHeight="1">
      <c r="A610" s="36"/>
      <c r="B610" s="432"/>
      <c r="C610" s="432"/>
      <c r="D610" s="446"/>
      <c r="E610" s="36"/>
      <c r="F610" s="36"/>
      <c r="G610" s="432"/>
      <c r="H610" s="432"/>
      <c r="I610" s="36"/>
      <c r="J610" s="36"/>
      <c r="K610" s="36"/>
      <c r="L610" s="450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75" customHeight="1">
      <c r="A611" s="36"/>
      <c r="B611" s="432"/>
      <c r="C611" s="432"/>
      <c r="D611" s="446"/>
      <c r="E611" s="36"/>
      <c r="F611" s="36"/>
      <c r="G611" s="432"/>
      <c r="H611" s="432"/>
      <c r="I611" s="36"/>
      <c r="J611" s="36"/>
      <c r="K611" s="36"/>
      <c r="L611" s="450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75" customHeight="1">
      <c r="A612" s="36"/>
      <c r="B612" s="432"/>
      <c r="C612" s="432"/>
      <c r="D612" s="446"/>
      <c r="E612" s="36"/>
      <c r="F612" s="36"/>
      <c r="G612" s="432"/>
      <c r="H612" s="432"/>
      <c r="I612" s="36"/>
      <c r="J612" s="36"/>
      <c r="K612" s="36"/>
      <c r="L612" s="450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75" customHeight="1">
      <c r="A613" s="36"/>
      <c r="B613" s="432"/>
      <c r="C613" s="432"/>
      <c r="D613" s="446"/>
      <c r="E613" s="36"/>
      <c r="F613" s="36"/>
      <c r="G613" s="432"/>
      <c r="H613" s="432"/>
      <c r="I613" s="36"/>
      <c r="J613" s="36"/>
      <c r="K613" s="36"/>
      <c r="L613" s="450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75" customHeight="1">
      <c r="A614" s="36"/>
      <c r="B614" s="432"/>
      <c r="C614" s="432"/>
      <c r="D614" s="446"/>
      <c r="E614" s="36"/>
      <c r="F614" s="36"/>
      <c r="G614" s="432"/>
      <c r="H614" s="432"/>
      <c r="I614" s="36"/>
      <c r="J614" s="36"/>
      <c r="K614" s="36"/>
      <c r="L614" s="450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75" customHeight="1">
      <c r="A615" s="36"/>
      <c r="B615" s="432"/>
      <c r="C615" s="432"/>
      <c r="D615" s="446"/>
      <c r="E615" s="36"/>
      <c r="F615" s="36"/>
      <c r="G615" s="432"/>
      <c r="H615" s="432"/>
      <c r="I615" s="36"/>
      <c r="J615" s="36"/>
      <c r="K615" s="36"/>
      <c r="L615" s="450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75" customHeight="1">
      <c r="A616" s="36"/>
      <c r="B616" s="432"/>
      <c r="C616" s="432"/>
      <c r="D616" s="446"/>
      <c r="E616" s="36"/>
      <c r="F616" s="36"/>
      <c r="G616" s="432"/>
      <c r="H616" s="432"/>
      <c r="I616" s="36"/>
      <c r="J616" s="36"/>
      <c r="K616" s="36"/>
      <c r="L616" s="450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75" customHeight="1">
      <c r="A617" s="36"/>
      <c r="B617" s="432"/>
      <c r="C617" s="432"/>
      <c r="D617" s="446"/>
      <c r="E617" s="36"/>
      <c r="F617" s="36"/>
      <c r="G617" s="432"/>
      <c r="H617" s="432"/>
      <c r="I617" s="36"/>
      <c r="J617" s="36"/>
      <c r="K617" s="36"/>
      <c r="L617" s="450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75" customHeight="1">
      <c r="A618" s="36"/>
      <c r="B618" s="432"/>
      <c r="C618" s="432"/>
      <c r="D618" s="446"/>
      <c r="E618" s="36"/>
      <c r="F618" s="36"/>
      <c r="G618" s="432"/>
      <c r="H618" s="432"/>
      <c r="I618" s="36"/>
      <c r="J618" s="36"/>
      <c r="K618" s="36"/>
      <c r="L618" s="450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75" customHeight="1">
      <c r="A619" s="36"/>
      <c r="B619" s="432"/>
      <c r="C619" s="432"/>
      <c r="D619" s="446"/>
      <c r="E619" s="36"/>
      <c r="F619" s="36"/>
      <c r="G619" s="432"/>
      <c r="H619" s="432"/>
      <c r="I619" s="36"/>
      <c r="J619" s="36"/>
      <c r="K619" s="36"/>
      <c r="L619" s="450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75" customHeight="1">
      <c r="A620" s="36"/>
      <c r="B620" s="432"/>
      <c r="C620" s="432"/>
      <c r="D620" s="446"/>
      <c r="E620" s="36"/>
      <c r="F620" s="36"/>
      <c r="G620" s="432"/>
      <c r="H620" s="432"/>
      <c r="I620" s="36"/>
      <c r="J620" s="36"/>
      <c r="K620" s="36"/>
      <c r="L620" s="450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75" customHeight="1">
      <c r="A621" s="36"/>
      <c r="B621" s="432"/>
      <c r="C621" s="432"/>
      <c r="D621" s="446"/>
      <c r="E621" s="36"/>
      <c r="F621" s="36"/>
      <c r="G621" s="432"/>
      <c r="H621" s="432"/>
      <c r="I621" s="36"/>
      <c r="J621" s="36"/>
      <c r="K621" s="36"/>
      <c r="L621" s="450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75" customHeight="1">
      <c r="A622" s="36"/>
      <c r="B622" s="432"/>
      <c r="C622" s="432"/>
      <c r="D622" s="446"/>
      <c r="E622" s="36"/>
      <c r="F622" s="36"/>
      <c r="G622" s="432"/>
      <c r="H622" s="432"/>
      <c r="I622" s="36"/>
      <c r="J622" s="36"/>
      <c r="K622" s="36"/>
      <c r="L622" s="450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75" customHeight="1">
      <c r="A623" s="36"/>
      <c r="B623" s="432"/>
      <c r="C623" s="432"/>
      <c r="D623" s="446"/>
      <c r="E623" s="36"/>
      <c r="F623" s="36"/>
      <c r="G623" s="432"/>
      <c r="H623" s="432"/>
      <c r="I623" s="36"/>
      <c r="J623" s="36"/>
      <c r="K623" s="36"/>
      <c r="L623" s="450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75" customHeight="1">
      <c r="A624" s="36"/>
      <c r="B624" s="432"/>
      <c r="C624" s="432"/>
      <c r="D624" s="446"/>
      <c r="E624" s="36"/>
      <c r="F624" s="36"/>
      <c r="G624" s="432"/>
      <c r="H624" s="432"/>
      <c r="I624" s="36"/>
      <c r="J624" s="36"/>
      <c r="K624" s="36"/>
      <c r="L624" s="450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75" customHeight="1">
      <c r="A625" s="36"/>
      <c r="B625" s="432"/>
      <c r="C625" s="432"/>
      <c r="D625" s="446"/>
      <c r="E625" s="36"/>
      <c r="F625" s="36"/>
      <c r="G625" s="432"/>
      <c r="H625" s="432"/>
      <c r="I625" s="36"/>
      <c r="J625" s="36"/>
      <c r="K625" s="36"/>
      <c r="L625" s="450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75" customHeight="1">
      <c r="A626" s="36"/>
      <c r="B626" s="432"/>
      <c r="C626" s="432"/>
      <c r="D626" s="446"/>
      <c r="E626" s="36"/>
      <c r="F626" s="36"/>
      <c r="G626" s="432"/>
      <c r="H626" s="432"/>
      <c r="I626" s="36"/>
      <c r="J626" s="36"/>
      <c r="K626" s="36"/>
      <c r="L626" s="450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75" customHeight="1">
      <c r="A627" s="36"/>
      <c r="B627" s="432"/>
      <c r="C627" s="432"/>
      <c r="D627" s="446"/>
      <c r="E627" s="36"/>
      <c r="F627" s="36"/>
      <c r="G627" s="432"/>
      <c r="H627" s="432"/>
      <c r="I627" s="36"/>
      <c r="J627" s="36"/>
      <c r="K627" s="36"/>
      <c r="L627" s="450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75" customHeight="1">
      <c r="A628" s="36"/>
      <c r="B628" s="432"/>
      <c r="C628" s="432"/>
      <c r="D628" s="446"/>
      <c r="E628" s="36"/>
      <c r="F628" s="36"/>
      <c r="G628" s="432"/>
      <c r="H628" s="432"/>
      <c r="I628" s="36"/>
      <c r="J628" s="36"/>
      <c r="K628" s="36"/>
      <c r="L628" s="450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75" customHeight="1">
      <c r="A629" s="36"/>
      <c r="B629" s="432"/>
      <c r="C629" s="432"/>
      <c r="D629" s="446"/>
      <c r="E629" s="36"/>
      <c r="F629" s="36"/>
      <c r="G629" s="432"/>
      <c r="H629" s="432"/>
      <c r="I629" s="36"/>
      <c r="J629" s="36"/>
      <c r="K629" s="36"/>
      <c r="L629" s="450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75" customHeight="1">
      <c r="A630" s="36"/>
      <c r="B630" s="432"/>
      <c r="C630" s="432"/>
      <c r="D630" s="446"/>
      <c r="E630" s="36"/>
      <c r="F630" s="36"/>
      <c r="G630" s="432"/>
      <c r="H630" s="432"/>
      <c r="I630" s="36"/>
      <c r="J630" s="36"/>
      <c r="K630" s="36"/>
      <c r="L630" s="450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75" customHeight="1">
      <c r="A631" s="36"/>
      <c r="B631" s="432"/>
      <c r="C631" s="432"/>
      <c r="D631" s="446"/>
      <c r="E631" s="36"/>
      <c r="F631" s="36"/>
      <c r="G631" s="432"/>
      <c r="H631" s="432"/>
      <c r="I631" s="36"/>
      <c r="J631" s="36"/>
      <c r="K631" s="36"/>
      <c r="L631" s="450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75" customHeight="1">
      <c r="A632" s="36"/>
      <c r="B632" s="432"/>
      <c r="C632" s="432"/>
      <c r="D632" s="446"/>
      <c r="E632" s="36"/>
      <c r="F632" s="36"/>
      <c r="G632" s="432"/>
      <c r="H632" s="432"/>
      <c r="I632" s="36"/>
      <c r="J632" s="36"/>
      <c r="K632" s="36"/>
      <c r="L632" s="450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75" customHeight="1">
      <c r="A633" s="36"/>
      <c r="B633" s="432"/>
      <c r="C633" s="432"/>
      <c r="D633" s="446"/>
      <c r="E633" s="36"/>
      <c r="F633" s="36"/>
      <c r="G633" s="432"/>
      <c r="H633" s="432"/>
      <c r="I633" s="36"/>
      <c r="J633" s="36"/>
      <c r="K633" s="36"/>
      <c r="L633" s="450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75" customHeight="1">
      <c r="A634" s="36"/>
      <c r="B634" s="432"/>
      <c r="C634" s="432"/>
      <c r="D634" s="446"/>
      <c r="E634" s="36"/>
      <c r="F634" s="36"/>
      <c r="G634" s="432"/>
      <c r="H634" s="432"/>
      <c r="I634" s="36"/>
      <c r="J634" s="36"/>
      <c r="K634" s="36"/>
      <c r="L634" s="450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75" customHeight="1">
      <c r="A635" s="36"/>
      <c r="B635" s="432"/>
      <c r="C635" s="432"/>
      <c r="D635" s="446"/>
      <c r="E635" s="36"/>
      <c r="F635" s="36"/>
      <c r="G635" s="432"/>
      <c r="H635" s="432"/>
      <c r="I635" s="36"/>
      <c r="J635" s="36"/>
      <c r="K635" s="36"/>
      <c r="L635" s="450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75" customHeight="1">
      <c r="A636" s="36"/>
      <c r="B636" s="432"/>
      <c r="C636" s="432"/>
      <c r="D636" s="446"/>
      <c r="E636" s="36"/>
      <c r="F636" s="36"/>
      <c r="G636" s="432"/>
      <c r="H636" s="432"/>
      <c r="I636" s="36"/>
      <c r="J636" s="36"/>
      <c r="K636" s="36"/>
      <c r="L636" s="450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75" customHeight="1">
      <c r="A637" s="36"/>
      <c r="B637" s="432"/>
      <c r="C637" s="432"/>
      <c r="D637" s="446"/>
      <c r="E637" s="36"/>
      <c r="F637" s="36"/>
      <c r="G637" s="432"/>
      <c r="H637" s="432"/>
      <c r="I637" s="36"/>
      <c r="J637" s="36"/>
      <c r="K637" s="36"/>
      <c r="L637" s="450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75" customHeight="1">
      <c r="A638" s="36"/>
      <c r="B638" s="432"/>
      <c r="C638" s="432"/>
      <c r="D638" s="446"/>
      <c r="E638" s="36"/>
      <c r="F638" s="36"/>
      <c r="G638" s="432"/>
      <c r="H638" s="432"/>
      <c r="I638" s="36"/>
      <c r="J638" s="36"/>
      <c r="K638" s="36"/>
      <c r="L638" s="450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75" customHeight="1">
      <c r="A639" s="36"/>
      <c r="B639" s="432"/>
      <c r="C639" s="432"/>
      <c r="D639" s="446"/>
      <c r="E639" s="36"/>
      <c r="F639" s="36"/>
      <c r="G639" s="432"/>
      <c r="H639" s="432"/>
      <c r="I639" s="36"/>
      <c r="J639" s="36"/>
      <c r="K639" s="36"/>
      <c r="L639" s="450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75" customHeight="1">
      <c r="A640" s="36"/>
      <c r="B640" s="432"/>
      <c r="C640" s="432"/>
      <c r="D640" s="446"/>
      <c r="E640" s="36"/>
      <c r="F640" s="36"/>
      <c r="G640" s="432"/>
      <c r="H640" s="432"/>
      <c r="I640" s="36"/>
      <c r="J640" s="36"/>
      <c r="K640" s="36"/>
      <c r="L640" s="450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75" customHeight="1">
      <c r="A641" s="36"/>
      <c r="B641" s="432"/>
      <c r="C641" s="432"/>
      <c r="D641" s="446"/>
      <c r="E641" s="36"/>
      <c r="F641" s="36"/>
      <c r="G641" s="432"/>
      <c r="H641" s="432"/>
      <c r="I641" s="36"/>
      <c r="J641" s="36"/>
      <c r="K641" s="36"/>
      <c r="L641" s="450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75" customHeight="1">
      <c r="A642" s="36"/>
      <c r="B642" s="432"/>
      <c r="C642" s="432"/>
      <c r="D642" s="446"/>
      <c r="E642" s="36"/>
      <c r="F642" s="36"/>
      <c r="G642" s="432"/>
      <c r="H642" s="432"/>
      <c r="I642" s="36"/>
      <c r="J642" s="36"/>
      <c r="K642" s="36"/>
      <c r="L642" s="450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75" customHeight="1">
      <c r="A643" s="36"/>
      <c r="B643" s="432"/>
      <c r="C643" s="432"/>
      <c r="D643" s="446"/>
      <c r="E643" s="36"/>
      <c r="F643" s="36"/>
      <c r="G643" s="432"/>
      <c r="H643" s="432"/>
      <c r="I643" s="36"/>
      <c r="J643" s="36"/>
      <c r="K643" s="36"/>
      <c r="L643" s="450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75" customHeight="1">
      <c r="A644" s="36"/>
      <c r="B644" s="432"/>
      <c r="C644" s="432"/>
      <c r="D644" s="446"/>
      <c r="E644" s="36"/>
      <c r="F644" s="36"/>
      <c r="G644" s="432"/>
      <c r="H644" s="432"/>
      <c r="I644" s="36"/>
      <c r="J644" s="36"/>
      <c r="K644" s="36"/>
      <c r="L644" s="450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75" customHeight="1">
      <c r="A645" s="36"/>
      <c r="B645" s="432"/>
      <c r="C645" s="432"/>
      <c r="D645" s="446"/>
      <c r="E645" s="36"/>
      <c r="F645" s="36"/>
      <c r="G645" s="432"/>
      <c r="H645" s="432"/>
      <c r="I645" s="36"/>
      <c r="J645" s="36"/>
      <c r="K645" s="36"/>
      <c r="L645" s="450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75" customHeight="1">
      <c r="A646" s="36"/>
      <c r="B646" s="432"/>
      <c r="C646" s="432"/>
      <c r="D646" s="446"/>
      <c r="E646" s="36"/>
      <c r="F646" s="36"/>
      <c r="G646" s="432"/>
      <c r="H646" s="432"/>
      <c r="I646" s="36"/>
      <c r="J646" s="36"/>
      <c r="K646" s="36"/>
      <c r="L646" s="450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75" customHeight="1">
      <c r="A647" s="36"/>
      <c r="B647" s="432"/>
      <c r="C647" s="432"/>
      <c r="D647" s="446"/>
      <c r="E647" s="36"/>
      <c r="F647" s="36"/>
      <c r="G647" s="432"/>
      <c r="H647" s="432"/>
      <c r="I647" s="36"/>
      <c r="J647" s="36"/>
      <c r="K647" s="36"/>
      <c r="L647" s="450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75" customHeight="1">
      <c r="A648" s="36"/>
      <c r="B648" s="432"/>
      <c r="C648" s="432"/>
      <c r="D648" s="446"/>
      <c r="E648" s="36"/>
      <c r="F648" s="36"/>
      <c r="G648" s="432"/>
      <c r="H648" s="432"/>
      <c r="I648" s="36"/>
      <c r="J648" s="36"/>
      <c r="K648" s="36"/>
      <c r="L648" s="450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75" customHeight="1">
      <c r="A649" s="36"/>
      <c r="B649" s="432"/>
      <c r="C649" s="432"/>
      <c r="D649" s="446"/>
      <c r="E649" s="36"/>
      <c r="F649" s="36"/>
      <c r="G649" s="432"/>
      <c r="H649" s="432"/>
      <c r="I649" s="36"/>
      <c r="J649" s="36"/>
      <c r="K649" s="36"/>
      <c r="L649" s="450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75" customHeight="1">
      <c r="A650" s="36"/>
      <c r="B650" s="432"/>
      <c r="C650" s="432"/>
      <c r="D650" s="446"/>
      <c r="E650" s="36"/>
      <c r="F650" s="36"/>
      <c r="G650" s="432"/>
      <c r="H650" s="432"/>
      <c r="I650" s="36"/>
      <c r="J650" s="36"/>
      <c r="K650" s="36"/>
      <c r="L650" s="450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75" customHeight="1">
      <c r="A651" s="36"/>
      <c r="B651" s="432"/>
      <c r="C651" s="432"/>
      <c r="D651" s="446"/>
      <c r="E651" s="36"/>
      <c r="F651" s="36"/>
      <c r="G651" s="432"/>
      <c r="H651" s="432"/>
      <c r="I651" s="36"/>
      <c r="J651" s="36"/>
      <c r="K651" s="36"/>
      <c r="L651" s="450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75" customHeight="1">
      <c r="A652" s="36"/>
      <c r="B652" s="432"/>
      <c r="C652" s="432"/>
      <c r="D652" s="446"/>
      <c r="E652" s="36"/>
      <c r="F652" s="36"/>
      <c r="G652" s="432"/>
      <c r="H652" s="432"/>
      <c r="I652" s="36"/>
      <c r="J652" s="36"/>
      <c r="K652" s="36"/>
      <c r="L652" s="450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75" customHeight="1">
      <c r="A653" s="36"/>
      <c r="B653" s="432"/>
      <c r="C653" s="432"/>
      <c r="D653" s="446"/>
      <c r="E653" s="36"/>
      <c r="F653" s="36"/>
      <c r="G653" s="432"/>
      <c r="H653" s="432"/>
      <c r="I653" s="36"/>
      <c r="J653" s="36"/>
      <c r="K653" s="36"/>
      <c r="L653" s="450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75" customHeight="1">
      <c r="A654" s="36"/>
      <c r="B654" s="432"/>
      <c r="C654" s="432"/>
      <c r="D654" s="446"/>
      <c r="E654" s="36"/>
      <c r="F654" s="36"/>
      <c r="G654" s="432"/>
      <c r="H654" s="432"/>
      <c r="I654" s="36"/>
      <c r="J654" s="36"/>
      <c r="K654" s="36"/>
      <c r="L654" s="450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75" customHeight="1">
      <c r="A655" s="36"/>
      <c r="B655" s="432"/>
      <c r="C655" s="432"/>
      <c r="D655" s="446"/>
      <c r="E655" s="36"/>
      <c r="F655" s="36"/>
      <c r="G655" s="432"/>
      <c r="H655" s="432"/>
      <c r="I655" s="36"/>
      <c r="J655" s="36"/>
      <c r="K655" s="36"/>
      <c r="L655" s="450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75" customHeight="1">
      <c r="A656" s="36"/>
      <c r="B656" s="432"/>
      <c r="C656" s="432"/>
      <c r="D656" s="446"/>
      <c r="E656" s="36"/>
      <c r="F656" s="36"/>
      <c r="G656" s="432"/>
      <c r="H656" s="432"/>
      <c r="I656" s="36"/>
      <c r="J656" s="36"/>
      <c r="K656" s="36"/>
      <c r="L656" s="450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75" customHeight="1">
      <c r="A657" s="36"/>
      <c r="B657" s="432"/>
      <c r="C657" s="432"/>
      <c r="D657" s="446"/>
      <c r="E657" s="36"/>
      <c r="F657" s="36"/>
      <c r="G657" s="432"/>
      <c r="H657" s="432"/>
      <c r="I657" s="36"/>
      <c r="J657" s="36"/>
      <c r="K657" s="36"/>
      <c r="L657" s="450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75" customHeight="1">
      <c r="A658" s="36"/>
      <c r="B658" s="432"/>
      <c r="C658" s="432"/>
      <c r="D658" s="446"/>
      <c r="E658" s="36"/>
      <c r="F658" s="36"/>
      <c r="G658" s="432"/>
      <c r="H658" s="432"/>
      <c r="I658" s="36"/>
      <c r="J658" s="36"/>
      <c r="K658" s="36"/>
      <c r="L658" s="450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75" customHeight="1">
      <c r="A659" s="36"/>
      <c r="B659" s="432"/>
      <c r="C659" s="432"/>
      <c r="D659" s="446"/>
      <c r="E659" s="36"/>
      <c r="F659" s="36"/>
      <c r="G659" s="432"/>
      <c r="H659" s="432"/>
      <c r="I659" s="36"/>
      <c r="J659" s="36"/>
      <c r="K659" s="36"/>
      <c r="L659" s="450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75" customHeight="1">
      <c r="A660" s="36"/>
      <c r="B660" s="432"/>
      <c r="C660" s="432"/>
      <c r="D660" s="446"/>
      <c r="E660" s="36"/>
      <c r="F660" s="36"/>
      <c r="G660" s="432"/>
      <c r="H660" s="432"/>
      <c r="I660" s="36"/>
      <c r="J660" s="36"/>
      <c r="K660" s="36"/>
      <c r="L660" s="450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75" customHeight="1">
      <c r="A661" s="36"/>
      <c r="B661" s="432"/>
      <c r="C661" s="432"/>
      <c r="D661" s="446"/>
      <c r="E661" s="36"/>
      <c r="F661" s="36"/>
      <c r="G661" s="432"/>
      <c r="H661" s="432"/>
      <c r="I661" s="36"/>
      <c r="J661" s="36"/>
      <c r="K661" s="36"/>
      <c r="L661" s="450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75" customHeight="1">
      <c r="A662" s="36"/>
      <c r="B662" s="432"/>
      <c r="C662" s="432"/>
      <c r="D662" s="446"/>
      <c r="E662" s="36"/>
      <c r="F662" s="36"/>
      <c r="G662" s="432"/>
      <c r="H662" s="432"/>
      <c r="I662" s="36"/>
      <c r="J662" s="36"/>
      <c r="K662" s="36"/>
      <c r="L662" s="450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75" customHeight="1">
      <c r="A663" s="36"/>
      <c r="B663" s="432"/>
      <c r="C663" s="432"/>
      <c r="D663" s="446"/>
      <c r="E663" s="36"/>
      <c r="F663" s="36"/>
      <c r="G663" s="432"/>
      <c r="H663" s="432"/>
      <c r="I663" s="36"/>
      <c r="J663" s="36"/>
      <c r="K663" s="36"/>
      <c r="L663" s="450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75" customHeight="1">
      <c r="A664" s="36"/>
      <c r="B664" s="432"/>
      <c r="C664" s="432"/>
      <c r="D664" s="446"/>
      <c r="E664" s="36"/>
      <c r="F664" s="36"/>
      <c r="G664" s="432"/>
      <c r="H664" s="432"/>
      <c r="I664" s="36"/>
      <c r="J664" s="36"/>
      <c r="K664" s="36"/>
      <c r="L664" s="450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75" customHeight="1">
      <c r="A665" s="36"/>
      <c r="B665" s="432"/>
      <c r="C665" s="432"/>
      <c r="D665" s="446"/>
      <c r="E665" s="36"/>
      <c r="F665" s="36"/>
      <c r="G665" s="432"/>
      <c r="H665" s="432"/>
      <c r="I665" s="36"/>
      <c r="J665" s="36"/>
      <c r="K665" s="36"/>
      <c r="L665" s="450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75" customHeight="1">
      <c r="A666" s="36"/>
      <c r="B666" s="432"/>
      <c r="C666" s="432"/>
      <c r="D666" s="446"/>
      <c r="E666" s="36"/>
      <c r="F666" s="36"/>
      <c r="G666" s="432"/>
      <c r="H666" s="432"/>
      <c r="I666" s="36"/>
      <c r="J666" s="36"/>
      <c r="K666" s="36"/>
      <c r="L666" s="450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75" customHeight="1">
      <c r="A667" s="36"/>
      <c r="B667" s="432"/>
      <c r="C667" s="432"/>
      <c r="D667" s="446"/>
      <c r="E667" s="36"/>
      <c r="F667" s="36"/>
      <c r="G667" s="432"/>
      <c r="H667" s="432"/>
      <c r="I667" s="36"/>
      <c r="J667" s="36"/>
      <c r="K667" s="36"/>
      <c r="L667" s="450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75" customHeight="1">
      <c r="A668" s="36"/>
      <c r="B668" s="432"/>
      <c r="C668" s="432"/>
      <c r="D668" s="446"/>
      <c r="E668" s="36"/>
      <c r="F668" s="36"/>
      <c r="G668" s="432"/>
      <c r="H668" s="432"/>
      <c r="I668" s="36"/>
      <c r="J668" s="36"/>
      <c r="K668" s="36"/>
      <c r="L668" s="450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75" customHeight="1">
      <c r="A669" s="36"/>
      <c r="B669" s="432"/>
      <c r="C669" s="432"/>
      <c r="D669" s="446"/>
      <c r="E669" s="36"/>
      <c r="F669" s="36"/>
      <c r="G669" s="432"/>
      <c r="H669" s="432"/>
      <c r="I669" s="36"/>
      <c r="J669" s="36"/>
      <c r="K669" s="36"/>
      <c r="L669" s="450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75" customHeight="1">
      <c r="A670" s="36"/>
      <c r="B670" s="432"/>
      <c r="C670" s="432"/>
      <c r="D670" s="446"/>
      <c r="E670" s="36"/>
      <c r="F670" s="36"/>
      <c r="G670" s="432"/>
      <c r="H670" s="432"/>
      <c r="I670" s="36"/>
      <c r="J670" s="36"/>
      <c r="K670" s="36"/>
      <c r="L670" s="450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75" customHeight="1">
      <c r="A671" s="36"/>
      <c r="B671" s="432"/>
      <c r="C671" s="432"/>
      <c r="D671" s="446"/>
      <c r="E671" s="36"/>
      <c r="F671" s="36"/>
      <c r="G671" s="432"/>
      <c r="H671" s="432"/>
      <c r="I671" s="36"/>
      <c r="J671" s="36"/>
      <c r="K671" s="36"/>
      <c r="L671" s="450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75" customHeight="1">
      <c r="A672" s="36"/>
      <c r="B672" s="432"/>
      <c r="C672" s="432"/>
      <c r="D672" s="446"/>
      <c r="E672" s="36"/>
      <c r="F672" s="36"/>
      <c r="G672" s="432"/>
      <c r="H672" s="432"/>
      <c r="I672" s="36"/>
      <c r="J672" s="36"/>
      <c r="K672" s="36"/>
      <c r="L672" s="450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75" customHeight="1">
      <c r="A673" s="36"/>
      <c r="B673" s="432"/>
      <c r="C673" s="432"/>
      <c r="D673" s="446"/>
      <c r="E673" s="36"/>
      <c r="F673" s="36"/>
      <c r="G673" s="432"/>
      <c r="H673" s="432"/>
      <c r="I673" s="36"/>
      <c r="J673" s="36"/>
      <c r="K673" s="36"/>
      <c r="L673" s="450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75" customHeight="1">
      <c r="A674" s="36"/>
      <c r="B674" s="432"/>
      <c r="C674" s="432"/>
      <c r="D674" s="446"/>
      <c r="E674" s="36"/>
      <c r="F674" s="36"/>
      <c r="G674" s="432"/>
      <c r="H674" s="432"/>
      <c r="I674" s="36"/>
      <c r="J674" s="36"/>
      <c r="K674" s="36"/>
      <c r="L674" s="450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75" customHeight="1">
      <c r="A675" s="36"/>
      <c r="B675" s="432"/>
      <c r="C675" s="432"/>
      <c r="D675" s="446"/>
      <c r="E675" s="36"/>
      <c r="F675" s="36"/>
      <c r="G675" s="432"/>
      <c r="H675" s="432"/>
      <c r="I675" s="36"/>
      <c r="J675" s="36"/>
      <c r="K675" s="36"/>
      <c r="L675" s="450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75" customHeight="1">
      <c r="A676" s="36"/>
      <c r="B676" s="432"/>
      <c r="C676" s="432"/>
      <c r="D676" s="446"/>
      <c r="E676" s="36"/>
      <c r="F676" s="36"/>
      <c r="G676" s="432"/>
      <c r="H676" s="432"/>
      <c r="I676" s="36"/>
      <c r="J676" s="36"/>
      <c r="K676" s="36"/>
      <c r="L676" s="450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75" customHeight="1">
      <c r="A677" s="36"/>
      <c r="B677" s="432"/>
      <c r="C677" s="432"/>
      <c r="D677" s="446"/>
      <c r="E677" s="36"/>
      <c r="F677" s="36"/>
      <c r="G677" s="432"/>
      <c r="H677" s="432"/>
      <c r="I677" s="36"/>
      <c r="J677" s="36"/>
      <c r="K677" s="36"/>
      <c r="L677" s="450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75" customHeight="1">
      <c r="A678" s="36"/>
      <c r="B678" s="432"/>
      <c r="C678" s="432"/>
      <c r="D678" s="446"/>
      <c r="E678" s="36"/>
      <c r="F678" s="36"/>
      <c r="G678" s="432"/>
      <c r="H678" s="432"/>
      <c r="I678" s="36"/>
      <c r="J678" s="36"/>
      <c r="K678" s="36"/>
      <c r="L678" s="450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75" customHeight="1">
      <c r="A679" s="36"/>
      <c r="B679" s="432"/>
      <c r="C679" s="432"/>
      <c r="D679" s="446"/>
      <c r="E679" s="36"/>
      <c r="F679" s="36"/>
      <c r="G679" s="432"/>
      <c r="H679" s="432"/>
      <c r="I679" s="36"/>
      <c r="J679" s="36"/>
      <c r="K679" s="36"/>
      <c r="L679" s="450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75" customHeight="1">
      <c r="A680" s="36"/>
      <c r="B680" s="432"/>
      <c r="C680" s="432"/>
      <c r="D680" s="446"/>
      <c r="E680" s="36"/>
      <c r="F680" s="36"/>
      <c r="G680" s="432"/>
      <c r="H680" s="432"/>
      <c r="I680" s="36"/>
      <c r="J680" s="36"/>
      <c r="K680" s="36"/>
      <c r="L680" s="450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75" customHeight="1">
      <c r="A681" s="36"/>
      <c r="B681" s="432"/>
      <c r="C681" s="432"/>
      <c r="D681" s="446"/>
      <c r="E681" s="36"/>
      <c r="F681" s="36"/>
      <c r="G681" s="432"/>
      <c r="H681" s="432"/>
      <c r="I681" s="36"/>
      <c r="J681" s="36"/>
      <c r="K681" s="36"/>
      <c r="L681" s="450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75" customHeight="1">
      <c r="A682" s="36"/>
      <c r="B682" s="432"/>
      <c r="C682" s="432"/>
      <c r="D682" s="446"/>
      <c r="E682" s="36"/>
      <c r="F682" s="36"/>
      <c r="G682" s="432"/>
      <c r="H682" s="432"/>
      <c r="I682" s="36"/>
      <c r="J682" s="36"/>
      <c r="K682" s="36"/>
      <c r="L682" s="450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75" customHeight="1">
      <c r="A683" s="36"/>
      <c r="B683" s="432"/>
      <c r="C683" s="432"/>
      <c r="D683" s="446"/>
      <c r="E683" s="36"/>
      <c r="F683" s="36"/>
      <c r="G683" s="432"/>
      <c r="H683" s="432"/>
      <c r="I683" s="36"/>
      <c r="J683" s="36"/>
      <c r="K683" s="36"/>
      <c r="L683" s="450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75" customHeight="1">
      <c r="A684" s="36"/>
      <c r="B684" s="432"/>
      <c r="C684" s="432"/>
      <c r="D684" s="446"/>
      <c r="E684" s="36"/>
      <c r="F684" s="36"/>
      <c r="G684" s="432"/>
      <c r="H684" s="432"/>
      <c r="I684" s="36"/>
      <c r="J684" s="36"/>
      <c r="K684" s="36"/>
      <c r="L684" s="450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75" customHeight="1">
      <c r="A685" s="36"/>
      <c r="B685" s="432"/>
      <c r="C685" s="432"/>
      <c r="D685" s="446"/>
      <c r="E685" s="36"/>
      <c r="F685" s="36"/>
      <c r="G685" s="432"/>
      <c r="H685" s="432"/>
      <c r="I685" s="36"/>
      <c r="J685" s="36"/>
      <c r="K685" s="36"/>
      <c r="L685" s="450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75" customHeight="1">
      <c r="A686" s="36"/>
      <c r="B686" s="432"/>
      <c r="C686" s="432"/>
      <c r="D686" s="446"/>
      <c r="E686" s="36"/>
      <c r="F686" s="36"/>
      <c r="G686" s="432"/>
      <c r="H686" s="432"/>
      <c r="I686" s="36"/>
      <c r="J686" s="36"/>
      <c r="K686" s="36"/>
      <c r="L686" s="450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75" customHeight="1">
      <c r="A687" s="36"/>
      <c r="B687" s="432"/>
      <c r="C687" s="432"/>
      <c r="D687" s="446"/>
      <c r="E687" s="36"/>
      <c r="F687" s="36"/>
      <c r="G687" s="432"/>
      <c r="H687" s="432"/>
      <c r="I687" s="36"/>
      <c r="J687" s="36"/>
      <c r="K687" s="36"/>
      <c r="L687" s="450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75" customHeight="1">
      <c r="A688" s="36"/>
      <c r="B688" s="432"/>
      <c r="C688" s="432"/>
      <c r="D688" s="446"/>
      <c r="E688" s="36"/>
      <c r="F688" s="36"/>
      <c r="G688" s="432"/>
      <c r="H688" s="432"/>
      <c r="I688" s="36"/>
      <c r="J688" s="36"/>
      <c r="K688" s="36"/>
      <c r="L688" s="450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75" customHeight="1">
      <c r="A689" s="36"/>
      <c r="B689" s="432"/>
      <c r="C689" s="432"/>
      <c r="D689" s="446"/>
      <c r="E689" s="36"/>
      <c r="F689" s="36"/>
      <c r="G689" s="432"/>
      <c r="H689" s="432"/>
      <c r="I689" s="36"/>
      <c r="J689" s="36"/>
      <c r="K689" s="36"/>
      <c r="L689" s="450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75" customHeight="1">
      <c r="A690" s="36"/>
      <c r="B690" s="432"/>
      <c r="C690" s="432"/>
      <c r="D690" s="446"/>
      <c r="E690" s="36"/>
      <c r="F690" s="36"/>
      <c r="G690" s="432"/>
      <c r="H690" s="432"/>
      <c r="I690" s="36"/>
      <c r="J690" s="36"/>
      <c r="K690" s="36"/>
      <c r="L690" s="450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75" customHeight="1">
      <c r="A691" s="36"/>
      <c r="B691" s="432"/>
      <c r="C691" s="432"/>
      <c r="D691" s="446"/>
      <c r="E691" s="36"/>
      <c r="F691" s="36"/>
      <c r="G691" s="432"/>
      <c r="H691" s="432"/>
      <c r="I691" s="36"/>
      <c r="J691" s="36"/>
      <c r="K691" s="36"/>
      <c r="L691" s="450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75" customHeight="1">
      <c r="A692" s="36"/>
      <c r="B692" s="432"/>
      <c r="C692" s="432"/>
      <c r="D692" s="446"/>
      <c r="E692" s="36"/>
      <c r="F692" s="36"/>
      <c r="G692" s="432"/>
      <c r="H692" s="432"/>
      <c r="I692" s="36"/>
      <c r="J692" s="36"/>
      <c r="K692" s="36"/>
      <c r="L692" s="450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75" customHeight="1">
      <c r="A693" s="36"/>
      <c r="B693" s="432"/>
      <c r="C693" s="432"/>
      <c r="D693" s="446"/>
      <c r="E693" s="36"/>
      <c r="F693" s="36"/>
      <c r="G693" s="432"/>
      <c r="H693" s="432"/>
      <c r="I693" s="36"/>
      <c r="J693" s="36"/>
      <c r="K693" s="36"/>
      <c r="L693" s="450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75" customHeight="1">
      <c r="A694" s="36"/>
      <c r="B694" s="432"/>
      <c r="C694" s="432"/>
      <c r="D694" s="446"/>
      <c r="E694" s="36"/>
      <c r="F694" s="36"/>
      <c r="G694" s="432"/>
      <c r="H694" s="432"/>
      <c r="I694" s="36"/>
      <c r="J694" s="36"/>
      <c r="K694" s="36"/>
      <c r="L694" s="450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75" customHeight="1">
      <c r="A695" s="36"/>
      <c r="B695" s="432"/>
      <c r="C695" s="432"/>
      <c r="D695" s="446"/>
      <c r="E695" s="36"/>
      <c r="F695" s="36"/>
      <c r="G695" s="432"/>
      <c r="H695" s="432"/>
      <c r="I695" s="36"/>
      <c r="J695" s="36"/>
      <c r="K695" s="36"/>
      <c r="L695" s="450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75" customHeight="1">
      <c r="A696" s="36"/>
      <c r="B696" s="432"/>
      <c r="C696" s="432"/>
      <c r="D696" s="446"/>
      <c r="E696" s="36"/>
      <c r="F696" s="36"/>
      <c r="G696" s="432"/>
      <c r="H696" s="432"/>
      <c r="I696" s="36"/>
      <c r="J696" s="36"/>
      <c r="K696" s="36"/>
      <c r="L696" s="450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75" customHeight="1">
      <c r="A697" s="36"/>
      <c r="B697" s="432"/>
      <c r="C697" s="432"/>
      <c r="D697" s="446"/>
      <c r="E697" s="36"/>
      <c r="F697" s="36"/>
      <c r="G697" s="432"/>
      <c r="H697" s="432"/>
      <c r="I697" s="36"/>
      <c r="J697" s="36"/>
      <c r="K697" s="36"/>
      <c r="L697" s="450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75" customHeight="1">
      <c r="A698" s="36"/>
      <c r="B698" s="432"/>
      <c r="C698" s="432"/>
      <c r="D698" s="446"/>
      <c r="E698" s="36"/>
      <c r="F698" s="36"/>
      <c r="G698" s="432"/>
      <c r="H698" s="432"/>
      <c r="I698" s="36"/>
      <c r="J698" s="36"/>
      <c r="K698" s="36"/>
      <c r="L698" s="450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75" customHeight="1">
      <c r="A699" s="36"/>
      <c r="B699" s="432"/>
      <c r="C699" s="432"/>
      <c r="D699" s="446"/>
      <c r="E699" s="36"/>
      <c r="F699" s="36"/>
      <c r="G699" s="432"/>
      <c r="H699" s="432"/>
      <c r="I699" s="36"/>
      <c r="J699" s="36"/>
      <c r="K699" s="36"/>
      <c r="L699" s="450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75" customHeight="1">
      <c r="A700" s="36"/>
      <c r="B700" s="432"/>
      <c r="C700" s="432"/>
      <c r="D700" s="446"/>
      <c r="E700" s="36"/>
      <c r="F700" s="36"/>
      <c r="G700" s="432"/>
      <c r="H700" s="432"/>
      <c r="I700" s="36"/>
      <c r="J700" s="36"/>
      <c r="K700" s="36"/>
      <c r="L700" s="450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75" customHeight="1">
      <c r="A701" s="36"/>
      <c r="B701" s="432"/>
      <c r="C701" s="432"/>
      <c r="D701" s="446"/>
      <c r="E701" s="36"/>
      <c r="F701" s="36"/>
      <c r="G701" s="432"/>
      <c r="H701" s="432"/>
      <c r="I701" s="36"/>
      <c r="J701" s="36"/>
      <c r="K701" s="36"/>
      <c r="L701" s="450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75" customHeight="1">
      <c r="A702" s="36"/>
      <c r="B702" s="432"/>
      <c r="C702" s="432"/>
      <c r="D702" s="446"/>
      <c r="E702" s="36"/>
      <c r="F702" s="36"/>
      <c r="G702" s="432"/>
      <c r="H702" s="432"/>
      <c r="I702" s="36"/>
      <c r="J702" s="36"/>
      <c r="K702" s="36"/>
      <c r="L702" s="450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75" customHeight="1">
      <c r="A703" s="36"/>
      <c r="B703" s="432"/>
      <c r="C703" s="432"/>
      <c r="D703" s="446"/>
      <c r="E703" s="36"/>
      <c r="F703" s="36"/>
      <c r="G703" s="432"/>
      <c r="H703" s="432"/>
      <c r="I703" s="36"/>
      <c r="J703" s="36"/>
      <c r="K703" s="36"/>
      <c r="L703" s="450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75" customHeight="1">
      <c r="A704" s="36"/>
      <c r="B704" s="432"/>
      <c r="C704" s="432"/>
      <c r="D704" s="446"/>
      <c r="E704" s="36"/>
      <c r="F704" s="36"/>
      <c r="G704" s="432"/>
      <c r="H704" s="432"/>
      <c r="I704" s="36"/>
      <c r="J704" s="36"/>
      <c r="K704" s="36"/>
      <c r="L704" s="450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75" customHeight="1">
      <c r="A705" s="36"/>
      <c r="B705" s="432"/>
      <c r="C705" s="432"/>
      <c r="D705" s="446"/>
      <c r="E705" s="36"/>
      <c r="F705" s="36"/>
      <c r="G705" s="432"/>
      <c r="H705" s="432"/>
      <c r="I705" s="36"/>
      <c r="J705" s="36"/>
      <c r="K705" s="36"/>
      <c r="L705" s="450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75" customHeight="1">
      <c r="A706" s="36"/>
      <c r="B706" s="432"/>
      <c r="C706" s="432"/>
      <c r="D706" s="446"/>
      <c r="E706" s="36"/>
      <c r="F706" s="36"/>
      <c r="G706" s="432"/>
      <c r="H706" s="432"/>
      <c r="I706" s="36"/>
      <c r="J706" s="36"/>
      <c r="K706" s="36"/>
      <c r="L706" s="450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75" customHeight="1">
      <c r="A707" s="36"/>
      <c r="B707" s="432"/>
      <c r="C707" s="432"/>
      <c r="D707" s="446"/>
      <c r="E707" s="36"/>
      <c r="F707" s="36"/>
      <c r="G707" s="432"/>
      <c r="H707" s="432"/>
      <c r="I707" s="36"/>
      <c r="J707" s="36"/>
      <c r="K707" s="36"/>
      <c r="L707" s="450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75" customHeight="1">
      <c r="A708" s="36"/>
      <c r="B708" s="432"/>
      <c r="C708" s="432"/>
      <c r="D708" s="446"/>
      <c r="E708" s="36"/>
      <c r="F708" s="36"/>
      <c r="G708" s="432"/>
      <c r="H708" s="432"/>
      <c r="I708" s="36"/>
      <c r="J708" s="36"/>
      <c r="K708" s="36"/>
      <c r="L708" s="450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75" customHeight="1">
      <c r="A709" s="36"/>
      <c r="B709" s="432"/>
      <c r="C709" s="432"/>
      <c r="D709" s="446"/>
      <c r="E709" s="36"/>
      <c r="F709" s="36"/>
      <c r="G709" s="432"/>
      <c r="H709" s="432"/>
      <c r="I709" s="36"/>
      <c r="J709" s="36"/>
      <c r="K709" s="36"/>
      <c r="L709" s="450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75" customHeight="1">
      <c r="A710" s="36"/>
      <c r="B710" s="432"/>
      <c r="C710" s="432"/>
      <c r="D710" s="446"/>
      <c r="E710" s="36"/>
      <c r="F710" s="36"/>
      <c r="G710" s="432"/>
      <c r="H710" s="432"/>
      <c r="I710" s="36"/>
      <c r="J710" s="36"/>
      <c r="K710" s="36"/>
      <c r="L710" s="450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75" customHeight="1">
      <c r="A711" s="36"/>
      <c r="B711" s="432"/>
      <c r="C711" s="432"/>
      <c r="D711" s="446"/>
      <c r="E711" s="36"/>
      <c r="F711" s="36"/>
      <c r="G711" s="432"/>
      <c r="H711" s="432"/>
      <c r="I711" s="36"/>
      <c r="J711" s="36"/>
      <c r="K711" s="36"/>
      <c r="L711" s="450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75" customHeight="1">
      <c r="A712" s="36"/>
      <c r="B712" s="432"/>
      <c r="C712" s="432"/>
      <c r="D712" s="446"/>
      <c r="E712" s="36"/>
      <c r="F712" s="36"/>
      <c r="G712" s="432"/>
      <c r="H712" s="432"/>
      <c r="I712" s="36"/>
      <c r="J712" s="36"/>
      <c r="K712" s="36"/>
      <c r="L712" s="450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75" customHeight="1">
      <c r="A713" s="36"/>
      <c r="B713" s="432"/>
      <c r="C713" s="432"/>
      <c r="D713" s="446"/>
      <c r="E713" s="36"/>
      <c r="F713" s="36"/>
      <c r="G713" s="432"/>
      <c r="H713" s="432"/>
      <c r="I713" s="36"/>
      <c r="J713" s="36"/>
      <c r="K713" s="36"/>
      <c r="L713" s="450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75" customHeight="1">
      <c r="A714" s="36"/>
      <c r="B714" s="432"/>
      <c r="C714" s="432"/>
      <c r="D714" s="446"/>
      <c r="E714" s="36"/>
      <c r="F714" s="36"/>
      <c r="G714" s="432"/>
      <c r="H714" s="432"/>
      <c r="I714" s="36"/>
      <c r="J714" s="36"/>
      <c r="K714" s="36"/>
      <c r="L714" s="450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75" customHeight="1">
      <c r="A715" s="36"/>
      <c r="B715" s="432"/>
      <c r="C715" s="432"/>
      <c r="D715" s="446"/>
      <c r="E715" s="36"/>
      <c r="F715" s="36"/>
      <c r="G715" s="432"/>
      <c r="H715" s="432"/>
      <c r="I715" s="36"/>
      <c r="J715" s="36"/>
      <c r="K715" s="36"/>
      <c r="L715" s="450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75" customHeight="1">
      <c r="A716" s="36"/>
      <c r="B716" s="432"/>
      <c r="C716" s="432"/>
      <c r="D716" s="446"/>
      <c r="E716" s="36"/>
      <c r="F716" s="36"/>
      <c r="G716" s="432"/>
      <c r="H716" s="432"/>
      <c r="I716" s="36"/>
      <c r="J716" s="36"/>
      <c r="K716" s="36"/>
      <c r="L716" s="450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75" customHeight="1">
      <c r="A717" s="36"/>
      <c r="B717" s="432"/>
      <c r="C717" s="432"/>
      <c r="D717" s="446"/>
      <c r="E717" s="36"/>
      <c r="F717" s="36"/>
      <c r="G717" s="432"/>
      <c r="H717" s="432"/>
      <c r="I717" s="36"/>
      <c r="J717" s="36"/>
      <c r="K717" s="36"/>
      <c r="L717" s="450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75" customHeight="1">
      <c r="A718" s="36"/>
      <c r="B718" s="432"/>
      <c r="C718" s="432"/>
      <c r="D718" s="446"/>
      <c r="E718" s="36"/>
      <c r="F718" s="36"/>
      <c r="G718" s="432"/>
      <c r="H718" s="432"/>
      <c r="I718" s="36"/>
      <c r="J718" s="36"/>
      <c r="K718" s="36"/>
      <c r="L718" s="450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75" customHeight="1">
      <c r="A719" s="36"/>
      <c r="B719" s="432"/>
      <c r="C719" s="432"/>
      <c r="D719" s="446"/>
      <c r="E719" s="36"/>
      <c r="F719" s="36"/>
      <c r="G719" s="432"/>
      <c r="H719" s="432"/>
      <c r="I719" s="36"/>
      <c r="J719" s="36"/>
      <c r="K719" s="36"/>
      <c r="L719" s="450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75" customHeight="1">
      <c r="A720" s="36"/>
      <c r="B720" s="432"/>
      <c r="C720" s="432"/>
      <c r="D720" s="446"/>
      <c r="E720" s="36"/>
      <c r="F720" s="36"/>
      <c r="G720" s="432"/>
      <c r="H720" s="432"/>
      <c r="I720" s="36"/>
      <c r="J720" s="36"/>
      <c r="K720" s="36"/>
      <c r="L720" s="450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75" customHeight="1">
      <c r="A721" s="36"/>
      <c r="B721" s="432"/>
      <c r="C721" s="432"/>
      <c r="D721" s="446"/>
      <c r="E721" s="36"/>
      <c r="F721" s="36"/>
      <c r="G721" s="432"/>
      <c r="H721" s="432"/>
      <c r="I721" s="36"/>
      <c r="J721" s="36"/>
      <c r="K721" s="36"/>
      <c r="L721" s="450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75" customHeight="1">
      <c r="A722" s="36"/>
      <c r="B722" s="432"/>
      <c r="C722" s="432"/>
      <c r="D722" s="446"/>
      <c r="E722" s="36"/>
      <c r="F722" s="36"/>
      <c r="G722" s="432"/>
      <c r="H722" s="432"/>
      <c r="I722" s="36"/>
      <c r="J722" s="36"/>
      <c r="K722" s="36"/>
      <c r="L722" s="450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75" customHeight="1">
      <c r="A723" s="36"/>
      <c r="B723" s="432"/>
      <c r="C723" s="432"/>
      <c r="D723" s="446"/>
      <c r="E723" s="36"/>
      <c r="F723" s="36"/>
      <c r="G723" s="432"/>
      <c r="H723" s="432"/>
      <c r="I723" s="36"/>
      <c r="J723" s="36"/>
      <c r="K723" s="36"/>
      <c r="L723" s="450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75" customHeight="1">
      <c r="A724" s="36"/>
      <c r="B724" s="432"/>
      <c r="C724" s="432"/>
      <c r="D724" s="446"/>
      <c r="E724" s="36"/>
      <c r="F724" s="36"/>
      <c r="G724" s="432"/>
      <c r="H724" s="432"/>
      <c r="I724" s="36"/>
      <c r="J724" s="36"/>
      <c r="K724" s="36"/>
      <c r="L724" s="450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75" customHeight="1">
      <c r="A725" s="36"/>
      <c r="B725" s="432"/>
      <c r="C725" s="432"/>
      <c r="D725" s="446"/>
      <c r="E725" s="36"/>
      <c r="F725" s="36"/>
      <c r="G725" s="432"/>
      <c r="H725" s="432"/>
      <c r="I725" s="36"/>
      <c r="J725" s="36"/>
      <c r="K725" s="36"/>
      <c r="L725" s="450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75" customHeight="1">
      <c r="A726" s="36"/>
      <c r="B726" s="432"/>
      <c r="C726" s="432"/>
      <c r="D726" s="446"/>
      <c r="E726" s="36"/>
      <c r="F726" s="36"/>
      <c r="G726" s="432"/>
      <c r="H726" s="432"/>
      <c r="I726" s="36"/>
      <c r="J726" s="36"/>
      <c r="K726" s="36"/>
      <c r="L726" s="450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75" customHeight="1">
      <c r="A727" s="36"/>
      <c r="B727" s="432"/>
      <c r="C727" s="432"/>
      <c r="D727" s="446"/>
      <c r="E727" s="36"/>
      <c r="F727" s="36"/>
      <c r="G727" s="432"/>
      <c r="H727" s="432"/>
      <c r="I727" s="36"/>
      <c r="J727" s="36"/>
      <c r="K727" s="36"/>
      <c r="L727" s="450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75" customHeight="1">
      <c r="A728" s="36"/>
      <c r="B728" s="432"/>
      <c r="C728" s="432"/>
      <c r="D728" s="446"/>
      <c r="E728" s="36"/>
      <c r="F728" s="36"/>
      <c r="G728" s="432"/>
      <c r="H728" s="432"/>
      <c r="I728" s="36"/>
      <c r="J728" s="36"/>
      <c r="K728" s="36"/>
      <c r="L728" s="450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75" customHeight="1">
      <c r="A729" s="36"/>
      <c r="B729" s="432"/>
      <c r="C729" s="432"/>
      <c r="D729" s="446"/>
      <c r="E729" s="36"/>
      <c r="F729" s="36"/>
      <c r="G729" s="432"/>
      <c r="H729" s="432"/>
      <c r="I729" s="36"/>
      <c r="J729" s="36"/>
      <c r="K729" s="36"/>
      <c r="L729" s="450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75" customHeight="1">
      <c r="A730" s="36"/>
      <c r="B730" s="432"/>
      <c r="C730" s="432"/>
      <c r="D730" s="446"/>
      <c r="E730" s="36"/>
      <c r="F730" s="36"/>
      <c r="G730" s="432"/>
      <c r="H730" s="432"/>
      <c r="I730" s="36"/>
      <c r="J730" s="36"/>
      <c r="K730" s="36"/>
      <c r="L730" s="450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75" customHeight="1">
      <c r="A731" s="36"/>
      <c r="B731" s="432"/>
      <c r="C731" s="432"/>
      <c r="D731" s="446"/>
      <c r="E731" s="36"/>
      <c r="F731" s="36"/>
      <c r="G731" s="432"/>
      <c r="H731" s="432"/>
      <c r="I731" s="36"/>
      <c r="J731" s="36"/>
      <c r="K731" s="36"/>
      <c r="L731" s="450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75" customHeight="1">
      <c r="A732" s="36"/>
      <c r="B732" s="432"/>
      <c r="C732" s="432"/>
      <c r="D732" s="446"/>
      <c r="E732" s="36"/>
      <c r="F732" s="36"/>
      <c r="G732" s="432"/>
      <c r="H732" s="432"/>
      <c r="I732" s="36"/>
      <c r="J732" s="36"/>
      <c r="K732" s="36"/>
      <c r="L732" s="450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75" customHeight="1">
      <c r="A733" s="36"/>
      <c r="B733" s="432"/>
      <c r="C733" s="432"/>
      <c r="D733" s="446"/>
      <c r="E733" s="36"/>
      <c r="F733" s="36"/>
      <c r="G733" s="432"/>
      <c r="H733" s="432"/>
      <c r="I733" s="36"/>
      <c r="J733" s="36"/>
      <c r="K733" s="36"/>
      <c r="L733" s="450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75" customHeight="1">
      <c r="A734" s="36"/>
      <c r="B734" s="432"/>
      <c r="C734" s="432"/>
      <c r="D734" s="446"/>
      <c r="E734" s="36"/>
      <c r="F734" s="36"/>
      <c r="G734" s="432"/>
      <c r="H734" s="432"/>
      <c r="I734" s="36"/>
      <c r="J734" s="36"/>
      <c r="K734" s="36"/>
      <c r="L734" s="450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75" customHeight="1">
      <c r="A735" s="36"/>
      <c r="B735" s="432"/>
      <c r="C735" s="432"/>
      <c r="D735" s="446"/>
      <c r="E735" s="36"/>
      <c r="F735" s="36"/>
      <c r="G735" s="432"/>
      <c r="H735" s="432"/>
      <c r="I735" s="36"/>
      <c r="J735" s="36"/>
      <c r="K735" s="36"/>
      <c r="L735" s="450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75" customHeight="1">
      <c r="A736" s="36"/>
      <c r="B736" s="432"/>
      <c r="C736" s="432"/>
      <c r="D736" s="446"/>
      <c r="E736" s="36"/>
      <c r="F736" s="36"/>
      <c r="G736" s="432"/>
      <c r="H736" s="432"/>
      <c r="I736" s="36"/>
      <c r="J736" s="36"/>
      <c r="K736" s="36"/>
      <c r="L736" s="450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75" customHeight="1">
      <c r="A737" s="36"/>
      <c r="B737" s="432"/>
      <c r="C737" s="432"/>
      <c r="D737" s="446"/>
      <c r="E737" s="36"/>
      <c r="F737" s="36"/>
      <c r="G737" s="432"/>
      <c r="H737" s="432"/>
      <c r="I737" s="36"/>
      <c r="J737" s="36"/>
      <c r="K737" s="36"/>
      <c r="L737" s="450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75" customHeight="1">
      <c r="A738" s="36"/>
      <c r="B738" s="432"/>
      <c r="C738" s="432"/>
      <c r="D738" s="446"/>
      <c r="E738" s="36"/>
      <c r="F738" s="36"/>
      <c r="G738" s="432"/>
      <c r="H738" s="432"/>
      <c r="I738" s="36"/>
      <c r="J738" s="36"/>
      <c r="K738" s="36"/>
      <c r="L738" s="450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75" customHeight="1">
      <c r="A739" s="36"/>
      <c r="B739" s="432"/>
      <c r="C739" s="432"/>
      <c r="D739" s="446"/>
      <c r="E739" s="36"/>
      <c r="F739" s="36"/>
      <c r="G739" s="432"/>
      <c r="H739" s="432"/>
      <c r="I739" s="36"/>
      <c r="J739" s="36"/>
      <c r="K739" s="36"/>
      <c r="L739" s="450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75" customHeight="1">
      <c r="A740" s="36"/>
      <c r="B740" s="432"/>
      <c r="C740" s="432"/>
      <c r="D740" s="446"/>
      <c r="E740" s="36"/>
      <c r="F740" s="36"/>
      <c r="G740" s="432"/>
      <c r="H740" s="432"/>
      <c r="I740" s="36"/>
      <c r="J740" s="36"/>
      <c r="K740" s="36"/>
      <c r="L740" s="450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75" customHeight="1">
      <c r="A741" s="36"/>
      <c r="B741" s="432"/>
      <c r="C741" s="432"/>
      <c r="D741" s="446"/>
      <c r="E741" s="36"/>
      <c r="F741" s="36"/>
      <c r="G741" s="432"/>
      <c r="H741" s="432"/>
      <c r="I741" s="36"/>
      <c r="J741" s="36"/>
      <c r="K741" s="36"/>
      <c r="L741" s="450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75" customHeight="1">
      <c r="A742" s="36"/>
      <c r="B742" s="432"/>
      <c r="C742" s="432"/>
      <c r="D742" s="446"/>
      <c r="E742" s="36"/>
      <c r="F742" s="36"/>
      <c r="G742" s="432"/>
      <c r="H742" s="432"/>
      <c r="I742" s="36"/>
      <c r="J742" s="36"/>
      <c r="K742" s="36"/>
      <c r="L742" s="450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75" customHeight="1">
      <c r="A743" s="36"/>
      <c r="B743" s="432"/>
      <c r="C743" s="432"/>
      <c r="D743" s="446"/>
      <c r="E743" s="36"/>
      <c r="F743" s="36"/>
      <c r="G743" s="432"/>
      <c r="H743" s="432"/>
      <c r="I743" s="36"/>
      <c r="J743" s="36"/>
      <c r="K743" s="36"/>
      <c r="L743" s="450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75" customHeight="1">
      <c r="A744" s="36"/>
      <c r="B744" s="432"/>
      <c r="C744" s="432"/>
      <c r="D744" s="446"/>
      <c r="E744" s="36"/>
      <c r="F744" s="36"/>
      <c r="G744" s="432"/>
      <c r="H744" s="432"/>
      <c r="I744" s="36"/>
      <c r="J744" s="36"/>
      <c r="K744" s="36"/>
      <c r="L744" s="450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75" customHeight="1">
      <c r="A745" s="36"/>
      <c r="B745" s="432"/>
      <c r="C745" s="432"/>
      <c r="D745" s="446"/>
      <c r="E745" s="36"/>
      <c r="F745" s="36"/>
      <c r="G745" s="432"/>
      <c r="H745" s="432"/>
      <c r="I745" s="36"/>
      <c r="J745" s="36"/>
      <c r="K745" s="36"/>
      <c r="L745" s="450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75" customHeight="1">
      <c r="A746" s="36"/>
      <c r="B746" s="432"/>
      <c r="C746" s="432"/>
      <c r="D746" s="446"/>
      <c r="E746" s="36"/>
      <c r="F746" s="36"/>
      <c r="G746" s="432"/>
      <c r="H746" s="432"/>
      <c r="I746" s="36"/>
      <c r="J746" s="36"/>
      <c r="K746" s="36"/>
      <c r="L746" s="450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75" customHeight="1">
      <c r="A747" s="36"/>
      <c r="B747" s="432"/>
      <c r="C747" s="432"/>
      <c r="D747" s="446"/>
      <c r="E747" s="36"/>
      <c r="F747" s="36"/>
      <c r="G747" s="432"/>
      <c r="H747" s="432"/>
      <c r="I747" s="36"/>
      <c r="J747" s="36"/>
      <c r="K747" s="36"/>
      <c r="L747" s="450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75" customHeight="1">
      <c r="A748" s="36"/>
      <c r="B748" s="432"/>
      <c r="C748" s="432"/>
      <c r="D748" s="446"/>
      <c r="E748" s="36"/>
      <c r="F748" s="36"/>
      <c r="G748" s="432"/>
      <c r="H748" s="432"/>
      <c r="I748" s="36"/>
      <c r="J748" s="36"/>
      <c r="K748" s="36"/>
      <c r="L748" s="450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75" customHeight="1">
      <c r="A749" s="36"/>
      <c r="B749" s="432"/>
      <c r="C749" s="432"/>
      <c r="D749" s="446"/>
      <c r="E749" s="36"/>
      <c r="F749" s="36"/>
      <c r="G749" s="432"/>
      <c r="H749" s="432"/>
      <c r="I749" s="36"/>
      <c r="J749" s="36"/>
      <c r="K749" s="36"/>
      <c r="L749" s="450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75" customHeight="1">
      <c r="A750" s="36"/>
      <c r="B750" s="432"/>
      <c r="C750" s="432"/>
      <c r="D750" s="446"/>
      <c r="E750" s="36"/>
      <c r="F750" s="36"/>
      <c r="G750" s="432"/>
      <c r="H750" s="432"/>
      <c r="I750" s="36"/>
      <c r="J750" s="36"/>
      <c r="K750" s="36"/>
      <c r="L750" s="450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75" customHeight="1">
      <c r="A751" s="36"/>
      <c r="B751" s="432"/>
      <c r="C751" s="432"/>
      <c r="D751" s="446"/>
      <c r="E751" s="36"/>
      <c r="F751" s="36"/>
      <c r="G751" s="432"/>
      <c r="H751" s="432"/>
      <c r="I751" s="36"/>
      <c r="J751" s="36"/>
      <c r="K751" s="36"/>
      <c r="L751" s="450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75" customHeight="1">
      <c r="A752" s="36"/>
      <c r="B752" s="432"/>
      <c r="C752" s="432"/>
      <c r="D752" s="446"/>
      <c r="E752" s="36"/>
      <c r="F752" s="36"/>
      <c r="G752" s="432"/>
      <c r="H752" s="432"/>
      <c r="I752" s="36"/>
      <c r="J752" s="36"/>
      <c r="K752" s="36"/>
      <c r="L752" s="450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75" customHeight="1">
      <c r="A753" s="36"/>
      <c r="B753" s="432"/>
      <c r="C753" s="432"/>
      <c r="D753" s="446"/>
      <c r="E753" s="36"/>
      <c r="F753" s="36"/>
      <c r="G753" s="432"/>
      <c r="H753" s="432"/>
      <c r="I753" s="36"/>
      <c r="J753" s="36"/>
      <c r="K753" s="36"/>
      <c r="L753" s="450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75" customHeight="1">
      <c r="A754" s="36"/>
      <c r="B754" s="432"/>
      <c r="C754" s="432"/>
      <c r="D754" s="446"/>
      <c r="E754" s="36"/>
      <c r="F754" s="36"/>
      <c r="G754" s="432"/>
      <c r="H754" s="432"/>
      <c r="I754" s="36"/>
      <c r="J754" s="36"/>
      <c r="K754" s="36"/>
      <c r="L754" s="450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75" customHeight="1">
      <c r="A755" s="36"/>
      <c r="B755" s="432"/>
      <c r="C755" s="432"/>
      <c r="D755" s="446"/>
      <c r="E755" s="36"/>
      <c r="F755" s="36"/>
      <c r="G755" s="432"/>
      <c r="H755" s="432"/>
      <c r="I755" s="36"/>
      <c r="J755" s="36"/>
      <c r="K755" s="36"/>
      <c r="L755" s="450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75" customHeight="1">
      <c r="A756" s="36"/>
      <c r="B756" s="432"/>
      <c r="C756" s="432"/>
      <c r="D756" s="446"/>
      <c r="E756" s="36"/>
      <c r="F756" s="36"/>
      <c r="G756" s="432"/>
      <c r="H756" s="432"/>
      <c r="I756" s="36"/>
      <c r="J756" s="36"/>
      <c r="K756" s="36"/>
      <c r="L756" s="450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75" customHeight="1">
      <c r="A757" s="36"/>
      <c r="B757" s="432"/>
      <c r="C757" s="432"/>
      <c r="D757" s="446"/>
      <c r="E757" s="36"/>
      <c r="F757" s="36"/>
      <c r="G757" s="432"/>
      <c r="H757" s="432"/>
      <c r="I757" s="36"/>
      <c r="J757" s="36"/>
      <c r="K757" s="36"/>
      <c r="L757" s="450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75" customHeight="1">
      <c r="A758" s="36"/>
      <c r="B758" s="432"/>
      <c r="C758" s="432"/>
      <c r="D758" s="446"/>
      <c r="E758" s="36"/>
      <c r="F758" s="36"/>
      <c r="G758" s="432"/>
      <c r="H758" s="432"/>
      <c r="I758" s="36"/>
      <c r="J758" s="36"/>
      <c r="K758" s="36"/>
      <c r="L758" s="450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75" customHeight="1">
      <c r="A759" s="36"/>
      <c r="B759" s="432"/>
      <c r="C759" s="432"/>
      <c r="D759" s="446"/>
      <c r="E759" s="36"/>
      <c r="F759" s="36"/>
      <c r="G759" s="432"/>
      <c r="H759" s="432"/>
      <c r="I759" s="36"/>
      <c r="J759" s="36"/>
      <c r="K759" s="36"/>
      <c r="L759" s="450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75" customHeight="1">
      <c r="A760" s="36"/>
      <c r="B760" s="432"/>
      <c r="C760" s="432"/>
      <c r="D760" s="446"/>
      <c r="E760" s="36"/>
      <c r="F760" s="36"/>
      <c r="G760" s="432"/>
      <c r="H760" s="432"/>
      <c r="I760" s="36"/>
      <c r="J760" s="36"/>
      <c r="K760" s="36"/>
      <c r="L760" s="450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75" customHeight="1">
      <c r="A761" s="36"/>
      <c r="B761" s="432"/>
      <c r="C761" s="432"/>
      <c r="D761" s="446"/>
      <c r="E761" s="36"/>
      <c r="F761" s="36"/>
      <c r="G761" s="432"/>
      <c r="H761" s="432"/>
      <c r="I761" s="36"/>
      <c r="J761" s="36"/>
      <c r="K761" s="36"/>
      <c r="L761" s="450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75" customHeight="1">
      <c r="A762" s="36"/>
      <c r="B762" s="432"/>
      <c r="C762" s="432"/>
      <c r="D762" s="446"/>
      <c r="E762" s="36"/>
      <c r="F762" s="36"/>
      <c r="G762" s="432"/>
      <c r="H762" s="432"/>
      <c r="I762" s="36"/>
      <c r="J762" s="36"/>
      <c r="K762" s="36"/>
      <c r="L762" s="450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75" customHeight="1">
      <c r="A763" s="36"/>
      <c r="B763" s="432"/>
      <c r="C763" s="432"/>
      <c r="D763" s="446"/>
      <c r="E763" s="36"/>
      <c r="F763" s="36"/>
      <c r="G763" s="432"/>
      <c r="H763" s="432"/>
      <c r="I763" s="36"/>
      <c r="J763" s="36"/>
      <c r="K763" s="36"/>
      <c r="L763" s="450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75" customHeight="1">
      <c r="A764" s="36"/>
      <c r="B764" s="432"/>
      <c r="C764" s="432"/>
      <c r="D764" s="446"/>
      <c r="E764" s="36"/>
      <c r="F764" s="36"/>
      <c r="G764" s="432"/>
      <c r="H764" s="432"/>
      <c r="I764" s="36"/>
      <c r="J764" s="36"/>
      <c r="K764" s="36"/>
      <c r="L764" s="450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75" customHeight="1">
      <c r="A765" s="36"/>
      <c r="B765" s="432"/>
      <c r="C765" s="432"/>
      <c r="D765" s="446"/>
      <c r="E765" s="36"/>
      <c r="F765" s="36"/>
      <c r="G765" s="432"/>
      <c r="H765" s="432"/>
      <c r="I765" s="36"/>
      <c r="J765" s="36"/>
      <c r="K765" s="36"/>
      <c r="L765" s="450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75" customHeight="1">
      <c r="A766" s="36"/>
      <c r="B766" s="432"/>
      <c r="C766" s="432"/>
      <c r="D766" s="446"/>
      <c r="E766" s="36"/>
      <c r="F766" s="36"/>
      <c r="G766" s="432"/>
      <c r="H766" s="432"/>
      <c r="I766" s="36"/>
      <c r="J766" s="36"/>
      <c r="K766" s="36"/>
      <c r="L766" s="450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75" customHeight="1">
      <c r="A767" s="36"/>
      <c r="B767" s="432"/>
      <c r="C767" s="432"/>
      <c r="D767" s="446"/>
      <c r="E767" s="36"/>
      <c r="F767" s="36"/>
      <c r="G767" s="432"/>
      <c r="H767" s="432"/>
      <c r="I767" s="36"/>
      <c r="J767" s="36"/>
      <c r="K767" s="36"/>
      <c r="L767" s="450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75" customHeight="1">
      <c r="A768" s="36"/>
      <c r="B768" s="432"/>
      <c r="C768" s="432"/>
      <c r="D768" s="446"/>
      <c r="E768" s="36"/>
      <c r="F768" s="36"/>
      <c r="G768" s="432"/>
      <c r="H768" s="432"/>
      <c r="I768" s="36"/>
      <c r="J768" s="36"/>
      <c r="K768" s="36"/>
      <c r="L768" s="450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75" customHeight="1">
      <c r="A769" s="36"/>
      <c r="B769" s="432"/>
      <c r="C769" s="432"/>
      <c r="D769" s="446"/>
      <c r="E769" s="36"/>
      <c r="F769" s="36"/>
      <c r="G769" s="432"/>
      <c r="H769" s="432"/>
      <c r="I769" s="36"/>
      <c r="J769" s="36"/>
      <c r="K769" s="36"/>
      <c r="L769" s="450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75" customHeight="1">
      <c r="A770" s="36"/>
      <c r="B770" s="432"/>
      <c r="C770" s="432"/>
      <c r="D770" s="446"/>
      <c r="E770" s="36"/>
      <c r="F770" s="36"/>
      <c r="G770" s="432"/>
      <c r="H770" s="432"/>
      <c r="I770" s="36"/>
      <c r="J770" s="36"/>
      <c r="K770" s="36"/>
      <c r="L770" s="450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75" customHeight="1">
      <c r="A771" s="36"/>
      <c r="B771" s="432"/>
      <c r="C771" s="432"/>
      <c r="D771" s="446"/>
      <c r="E771" s="36"/>
      <c r="F771" s="36"/>
      <c r="G771" s="432"/>
      <c r="H771" s="432"/>
      <c r="I771" s="36"/>
      <c r="J771" s="36"/>
      <c r="K771" s="36"/>
      <c r="L771" s="450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75" customHeight="1">
      <c r="A772" s="36"/>
      <c r="B772" s="432"/>
      <c r="C772" s="432"/>
      <c r="D772" s="446"/>
      <c r="E772" s="36"/>
      <c r="F772" s="36"/>
      <c r="G772" s="432"/>
      <c r="H772" s="432"/>
      <c r="I772" s="36"/>
      <c r="J772" s="36"/>
      <c r="K772" s="36"/>
      <c r="L772" s="450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75" customHeight="1">
      <c r="A773" s="36"/>
      <c r="B773" s="432"/>
      <c r="C773" s="432"/>
      <c r="D773" s="446"/>
      <c r="E773" s="36"/>
      <c r="F773" s="36"/>
      <c r="G773" s="432"/>
      <c r="H773" s="432"/>
      <c r="I773" s="36"/>
      <c r="J773" s="36"/>
      <c r="K773" s="36"/>
      <c r="L773" s="450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75" customHeight="1">
      <c r="A774" s="36"/>
      <c r="B774" s="432"/>
      <c r="C774" s="432"/>
      <c r="D774" s="446"/>
      <c r="E774" s="36"/>
      <c r="F774" s="36"/>
      <c r="G774" s="432"/>
      <c r="H774" s="432"/>
      <c r="I774" s="36"/>
      <c r="J774" s="36"/>
      <c r="K774" s="36"/>
      <c r="L774" s="450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75" customHeight="1">
      <c r="A775" s="36"/>
      <c r="B775" s="432"/>
      <c r="C775" s="432"/>
      <c r="D775" s="446"/>
      <c r="E775" s="36"/>
      <c r="F775" s="36"/>
      <c r="G775" s="432"/>
      <c r="H775" s="432"/>
      <c r="I775" s="36"/>
      <c r="J775" s="36"/>
      <c r="K775" s="36"/>
      <c r="L775" s="450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75" customHeight="1">
      <c r="A776" s="36"/>
      <c r="B776" s="432"/>
      <c r="C776" s="432"/>
      <c r="D776" s="446"/>
      <c r="E776" s="36"/>
      <c r="F776" s="36"/>
      <c r="G776" s="432"/>
      <c r="H776" s="432"/>
      <c r="I776" s="36"/>
      <c r="J776" s="36"/>
      <c r="K776" s="36"/>
      <c r="L776" s="450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75" customHeight="1">
      <c r="A777" s="36"/>
      <c r="B777" s="432"/>
      <c r="C777" s="432"/>
      <c r="D777" s="446"/>
      <c r="E777" s="36"/>
      <c r="F777" s="36"/>
      <c r="G777" s="432"/>
      <c r="H777" s="432"/>
      <c r="I777" s="36"/>
      <c r="J777" s="36"/>
      <c r="K777" s="36"/>
      <c r="L777" s="450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75" customHeight="1">
      <c r="A778" s="36"/>
      <c r="B778" s="432"/>
      <c r="C778" s="432"/>
      <c r="D778" s="446"/>
      <c r="E778" s="36"/>
      <c r="F778" s="36"/>
      <c r="G778" s="432"/>
      <c r="H778" s="432"/>
      <c r="I778" s="36"/>
      <c r="J778" s="36"/>
      <c r="K778" s="36"/>
      <c r="L778" s="450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75" customHeight="1">
      <c r="A779" s="36"/>
      <c r="B779" s="432"/>
      <c r="C779" s="432"/>
      <c r="D779" s="446"/>
      <c r="E779" s="36"/>
      <c r="F779" s="36"/>
      <c r="G779" s="432"/>
      <c r="H779" s="432"/>
      <c r="I779" s="36"/>
      <c r="J779" s="36"/>
      <c r="K779" s="36"/>
      <c r="L779" s="450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75" customHeight="1">
      <c r="A780" s="36"/>
      <c r="B780" s="432"/>
      <c r="C780" s="432"/>
      <c r="D780" s="446"/>
      <c r="E780" s="36"/>
      <c r="F780" s="36"/>
      <c r="G780" s="432"/>
      <c r="H780" s="432"/>
      <c r="I780" s="36"/>
      <c r="J780" s="36"/>
      <c r="K780" s="36"/>
      <c r="L780" s="450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75" customHeight="1">
      <c r="A781" s="36"/>
      <c r="B781" s="432"/>
      <c r="C781" s="432"/>
      <c r="D781" s="446"/>
      <c r="E781" s="36"/>
      <c r="F781" s="36"/>
      <c r="G781" s="432"/>
      <c r="H781" s="432"/>
      <c r="I781" s="36"/>
      <c r="J781" s="36"/>
      <c r="K781" s="36"/>
      <c r="L781" s="450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75" customHeight="1">
      <c r="A782" s="36"/>
      <c r="B782" s="432"/>
      <c r="C782" s="432"/>
      <c r="D782" s="446"/>
      <c r="E782" s="36"/>
      <c r="F782" s="36"/>
      <c r="G782" s="432"/>
      <c r="H782" s="432"/>
      <c r="I782" s="36"/>
      <c r="J782" s="36"/>
      <c r="K782" s="36"/>
      <c r="L782" s="450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75" customHeight="1">
      <c r="A783" s="36"/>
      <c r="B783" s="432"/>
      <c r="C783" s="432"/>
      <c r="D783" s="446"/>
      <c r="E783" s="36"/>
      <c r="F783" s="36"/>
      <c r="G783" s="432"/>
      <c r="H783" s="432"/>
      <c r="I783" s="36"/>
      <c r="J783" s="36"/>
      <c r="K783" s="36"/>
      <c r="L783" s="450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75" customHeight="1">
      <c r="A784" s="36"/>
      <c r="B784" s="432"/>
      <c r="C784" s="432"/>
      <c r="D784" s="446"/>
      <c r="E784" s="36"/>
      <c r="F784" s="36"/>
      <c r="G784" s="432"/>
      <c r="H784" s="432"/>
      <c r="I784" s="36"/>
      <c r="J784" s="36"/>
      <c r="K784" s="36"/>
      <c r="L784" s="450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75" customHeight="1">
      <c r="A785" s="36"/>
      <c r="B785" s="432"/>
      <c r="C785" s="432"/>
      <c r="D785" s="446"/>
      <c r="E785" s="36"/>
      <c r="F785" s="36"/>
      <c r="G785" s="432"/>
      <c r="H785" s="432"/>
      <c r="I785" s="36"/>
      <c r="J785" s="36"/>
      <c r="K785" s="36"/>
      <c r="L785" s="450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75" customHeight="1">
      <c r="A786" s="36"/>
      <c r="B786" s="432"/>
      <c r="C786" s="432"/>
      <c r="D786" s="446"/>
      <c r="E786" s="36"/>
      <c r="F786" s="36"/>
      <c r="G786" s="432"/>
      <c r="H786" s="432"/>
      <c r="I786" s="36"/>
      <c r="J786" s="36"/>
      <c r="K786" s="36"/>
      <c r="L786" s="450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75" customHeight="1">
      <c r="A787" s="36"/>
      <c r="B787" s="432"/>
      <c r="C787" s="432"/>
      <c r="D787" s="446"/>
      <c r="E787" s="36"/>
      <c r="F787" s="36"/>
      <c r="G787" s="432"/>
      <c r="H787" s="432"/>
      <c r="I787" s="36"/>
      <c r="J787" s="36"/>
      <c r="K787" s="36"/>
      <c r="L787" s="450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75" customHeight="1">
      <c r="A788" s="36"/>
      <c r="B788" s="432"/>
      <c r="C788" s="432"/>
      <c r="D788" s="446"/>
      <c r="E788" s="36"/>
      <c r="F788" s="36"/>
      <c r="G788" s="432"/>
      <c r="H788" s="432"/>
      <c r="I788" s="36"/>
      <c r="J788" s="36"/>
      <c r="K788" s="36"/>
      <c r="L788" s="450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75" customHeight="1">
      <c r="A789" s="36"/>
      <c r="B789" s="432"/>
      <c r="C789" s="432"/>
      <c r="D789" s="446"/>
      <c r="E789" s="36"/>
      <c r="F789" s="36"/>
      <c r="G789" s="432"/>
      <c r="H789" s="432"/>
      <c r="I789" s="36"/>
      <c r="J789" s="36"/>
      <c r="K789" s="36"/>
      <c r="L789" s="450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75" customHeight="1">
      <c r="A790" s="36"/>
      <c r="B790" s="432"/>
      <c r="C790" s="432"/>
      <c r="D790" s="446"/>
      <c r="E790" s="36"/>
      <c r="F790" s="36"/>
      <c r="G790" s="432"/>
      <c r="H790" s="432"/>
      <c r="I790" s="36"/>
      <c r="J790" s="36"/>
      <c r="K790" s="36"/>
      <c r="L790" s="450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75" customHeight="1">
      <c r="A791" s="36"/>
      <c r="B791" s="432"/>
      <c r="C791" s="432"/>
      <c r="D791" s="446"/>
      <c r="E791" s="36"/>
      <c r="F791" s="36"/>
      <c r="G791" s="432"/>
      <c r="H791" s="432"/>
      <c r="I791" s="36"/>
      <c r="J791" s="36"/>
      <c r="K791" s="36"/>
      <c r="L791" s="450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75" customHeight="1">
      <c r="A792" s="36"/>
      <c r="B792" s="432"/>
      <c r="C792" s="432"/>
      <c r="D792" s="446"/>
      <c r="E792" s="36"/>
      <c r="F792" s="36"/>
      <c r="G792" s="432"/>
      <c r="H792" s="432"/>
      <c r="I792" s="36"/>
      <c r="J792" s="36"/>
      <c r="K792" s="36"/>
      <c r="L792" s="450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75" customHeight="1">
      <c r="A793" s="36"/>
      <c r="B793" s="432"/>
      <c r="C793" s="432"/>
      <c r="D793" s="446"/>
      <c r="E793" s="36"/>
      <c r="F793" s="36"/>
      <c r="G793" s="432"/>
      <c r="H793" s="432"/>
      <c r="I793" s="36"/>
      <c r="J793" s="36"/>
      <c r="K793" s="36"/>
      <c r="L793" s="450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75" customHeight="1">
      <c r="A794" s="36"/>
      <c r="B794" s="432"/>
      <c r="C794" s="432"/>
      <c r="D794" s="446"/>
      <c r="E794" s="36"/>
      <c r="F794" s="36"/>
      <c r="G794" s="432"/>
      <c r="H794" s="432"/>
      <c r="I794" s="36"/>
      <c r="J794" s="36"/>
      <c r="K794" s="36"/>
      <c r="L794" s="450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75" customHeight="1">
      <c r="A795" s="36"/>
      <c r="B795" s="432"/>
      <c r="C795" s="432"/>
      <c r="D795" s="446"/>
      <c r="E795" s="36"/>
      <c r="F795" s="36"/>
      <c r="G795" s="432"/>
      <c r="H795" s="432"/>
      <c r="I795" s="36"/>
      <c r="J795" s="36"/>
      <c r="K795" s="36"/>
      <c r="L795" s="450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75" customHeight="1">
      <c r="A796" s="36"/>
      <c r="B796" s="432"/>
      <c r="C796" s="432"/>
      <c r="D796" s="446"/>
      <c r="E796" s="36"/>
      <c r="F796" s="36"/>
      <c r="G796" s="432"/>
      <c r="H796" s="432"/>
      <c r="I796" s="36"/>
      <c r="J796" s="36"/>
      <c r="K796" s="36"/>
      <c r="L796" s="450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75" customHeight="1">
      <c r="A797" s="36"/>
      <c r="B797" s="432"/>
      <c r="C797" s="432"/>
      <c r="D797" s="446"/>
      <c r="E797" s="36"/>
      <c r="F797" s="36"/>
      <c r="G797" s="432"/>
      <c r="H797" s="432"/>
      <c r="I797" s="36"/>
      <c r="J797" s="36"/>
      <c r="K797" s="36"/>
      <c r="L797" s="450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75" customHeight="1">
      <c r="A798" s="36"/>
      <c r="B798" s="432"/>
      <c r="C798" s="432"/>
      <c r="D798" s="446"/>
      <c r="E798" s="36"/>
      <c r="F798" s="36"/>
      <c r="G798" s="432"/>
      <c r="H798" s="432"/>
      <c r="I798" s="36"/>
      <c r="J798" s="36"/>
      <c r="K798" s="36"/>
      <c r="L798" s="450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75" customHeight="1">
      <c r="A799" s="36"/>
      <c r="B799" s="432"/>
      <c r="C799" s="432"/>
      <c r="D799" s="446"/>
      <c r="E799" s="36"/>
      <c r="F799" s="36"/>
      <c r="G799" s="432"/>
      <c r="H799" s="432"/>
      <c r="I799" s="36"/>
      <c r="J799" s="36"/>
      <c r="K799" s="36"/>
      <c r="L799" s="450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75" customHeight="1">
      <c r="A800" s="36"/>
      <c r="B800" s="432"/>
      <c r="C800" s="432"/>
      <c r="D800" s="446"/>
      <c r="E800" s="36"/>
      <c r="F800" s="36"/>
      <c r="G800" s="432"/>
      <c r="H800" s="432"/>
      <c r="I800" s="36"/>
      <c r="J800" s="36"/>
      <c r="K800" s="36"/>
      <c r="L800" s="450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75" customHeight="1">
      <c r="A801" s="36"/>
      <c r="B801" s="432"/>
      <c r="C801" s="432"/>
      <c r="D801" s="446"/>
      <c r="E801" s="36"/>
      <c r="F801" s="36"/>
      <c r="G801" s="432"/>
      <c r="H801" s="432"/>
      <c r="I801" s="36"/>
      <c r="J801" s="36"/>
      <c r="K801" s="36"/>
      <c r="L801" s="450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75" customHeight="1">
      <c r="A802" s="36"/>
      <c r="B802" s="432"/>
      <c r="C802" s="432"/>
      <c r="D802" s="446"/>
      <c r="E802" s="36"/>
      <c r="F802" s="36"/>
      <c r="G802" s="432"/>
      <c r="H802" s="432"/>
      <c r="I802" s="36"/>
      <c r="J802" s="36"/>
      <c r="K802" s="36"/>
      <c r="L802" s="450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75" customHeight="1">
      <c r="A803" s="36"/>
      <c r="B803" s="432"/>
      <c r="C803" s="432"/>
      <c r="D803" s="446"/>
      <c r="E803" s="36"/>
      <c r="F803" s="36"/>
      <c r="G803" s="432"/>
      <c r="H803" s="432"/>
      <c r="I803" s="36"/>
      <c r="J803" s="36"/>
      <c r="K803" s="36"/>
      <c r="L803" s="450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75" customHeight="1">
      <c r="A804" s="36"/>
      <c r="B804" s="432"/>
      <c r="C804" s="432"/>
      <c r="D804" s="446"/>
      <c r="E804" s="36"/>
      <c r="F804" s="36"/>
      <c r="G804" s="432"/>
      <c r="H804" s="432"/>
      <c r="I804" s="36"/>
      <c r="J804" s="36"/>
      <c r="K804" s="36"/>
      <c r="L804" s="450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75" customHeight="1">
      <c r="A805" s="36"/>
      <c r="B805" s="432"/>
      <c r="C805" s="432"/>
      <c r="D805" s="446"/>
      <c r="E805" s="36"/>
      <c r="F805" s="36"/>
      <c r="G805" s="432"/>
      <c r="H805" s="432"/>
      <c r="I805" s="36"/>
      <c r="J805" s="36"/>
      <c r="K805" s="36"/>
      <c r="L805" s="450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75" customHeight="1">
      <c r="A806" s="36"/>
      <c r="B806" s="432"/>
      <c r="C806" s="432"/>
      <c r="D806" s="446"/>
      <c r="E806" s="36"/>
      <c r="F806" s="36"/>
      <c r="G806" s="432"/>
      <c r="H806" s="432"/>
      <c r="I806" s="36"/>
      <c r="J806" s="36"/>
      <c r="K806" s="36"/>
      <c r="L806" s="450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75" customHeight="1">
      <c r="A807" s="36"/>
      <c r="B807" s="432"/>
      <c r="C807" s="432"/>
      <c r="D807" s="446"/>
      <c r="E807" s="36"/>
      <c r="F807" s="36"/>
      <c r="G807" s="432"/>
      <c r="H807" s="432"/>
      <c r="I807" s="36"/>
      <c r="J807" s="36"/>
      <c r="K807" s="36"/>
      <c r="L807" s="450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75" customHeight="1">
      <c r="A808" s="36"/>
      <c r="B808" s="432"/>
      <c r="C808" s="432"/>
      <c r="D808" s="446"/>
      <c r="E808" s="36"/>
      <c r="F808" s="36"/>
      <c r="G808" s="432"/>
      <c r="H808" s="432"/>
      <c r="I808" s="36"/>
      <c r="J808" s="36"/>
      <c r="K808" s="36"/>
      <c r="L808" s="450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75" customHeight="1">
      <c r="A809" s="36"/>
      <c r="B809" s="432"/>
      <c r="C809" s="432"/>
      <c r="D809" s="446"/>
      <c r="E809" s="36"/>
      <c r="F809" s="36"/>
      <c r="G809" s="432"/>
      <c r="H809" s="432"/>
      <c r="I809" s="36"/>
      <c r="J809" s="36"/>
      <c r="K809" s="36"/>
      <c r="L809" s="450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75" customHeight="1">
      <c r="A810" s="36"/>
      <c r="B810" s="432"/>
      <c r="C810" s="432"/>
      <c r="D810" s="446"/>
      <c r="E810" s="36"/>
      <c r="F810" s="36"/>
      <c r="G810" s="432"/>
      <c r="H810" s="432"/>
      <c r="I810" s="36"/>
      <c r="J810" s="36"/>
      <c r="K810" s="36"/>
      <c r="L810" s="450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75" customHeight="1">
      <c r="A811" s="36"/>
      <c r="B811" s="432"/>
      <c r="C811" s="432"/>
      <c r="D811" s="446"/>
      <c r="E811" s="36"/>
      <c r="F811" s="36"/>
      <c r="G811" s="432"/>
      <c r="H811" s="432"/>
      <c r="I811" s="36"/>
      <c r="J811" s="36"/>
      <c r="K811" s="36"/>
      <c r="L811" s="450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75" customHeight="1">
      <c r="A812" s="36"/>
      <c r="B812" s="432"/>
      <c r="C812" s="432"/>
      <c r="D812" s="446"/>
      <c r="E812" s="36"/>
      <c r="F812" s="36"/>
      <c r="G812" s="432"/>
      <c r="H812" s="432"/>
      <c r="I812" s="36"/>
      <c r="J812" s="36"/>
      <c r="K812" s="36"/>
      <c r="L812" s="450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75" customHeight="1">
      <c r="A813" s="36"/>
      <c r="B813" s="432"/>
      <c r="C813" s="432"/>
      <c r="D813" s="446"/>
      <c r="E813" s="36"/>
      <c r="F813" s="36"/>
      <c r="G813" s="432"/>
      <c r="H813" s="432"/>
      <c r="I813" s="36"/>
      <c r="J813" s="36"/>
      <c r="K813" s="36"/>
      <c r="L813" s="450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75" customHeight="1">
      <c r="A814" s="36"/>
      <c r="B814" s="432"/>
      <c r="C814" s="432"/>
      <c r="D814" s="446"/>
      <c r="E814" s="36"/>
      <c r="F814" s="36"/>
      <c r="G814" s="432"/>
      <c r="H814" s="432"/>
      <c r="I814" s="36"/>
      <c r="J814" s="36"/>
      <c r="K814" s="36"/>
      <c r="L814" s="450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75" customHeight="1">
      <c r="A815" s="36"/>
      <c r="B815" s="432"/>
      <c r="C815" s="432"/>
      <c r="D815" s="446"/>
      <c r="E815" s="36"/>
      <c r="F815" s="36"/>
      <c r="G815" s="432"/>
      <c r="H815" s="432"/>
      <c r="I815" s="36"/>
      <c r="J815" s="36"/>
      <c r="K815" s="36"/>
      <c r="L815" s="450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75" customHeight="1">
      <c r="A816" s="36"/>
      <c r="B816" s="432"/>
      <c r="C816" s="432"/>
      <c r="D816" s="446"/>
      <c r="E816" s="36"/>
      <c r="F816" s="36"/>
      <c r="G816" s="432"/>
      <c r="H816" s="432"/>
      <c r="I816" s="36"/>
      <c r="J816" s="36"/>
      <c r="K816" s="36"/>
      <c r="L816" s="450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75" customHeight="1">
      <c r="A817" s="36"/>
      <c r="B817" s="432"/>
      <c r="C817" s="432"/>
      <c r="D817" s="446"/>
      <c r="E817" s="36"/>
      <c r="F817" s="36"/>
      <c r="G817" s="432"/>
      <c r="H817" s="432"/>
      <c r="I817" s="36"/>
      <c r="J817" s="36"/>
      <c r="K817" s="36"/>
      <c r="L817" s="450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75" customHeight="1">
      <c r="A818" s="36"/>
      <c r="B818" s="432"/>
      <c r="C818" s="432"/>
      <c r="D818" s="446"/>
      <c r="E818" s="36"/>
      <c r="F818" s="36"/>
      <c r="G818" s="432"/>
      <c r="H818" s="432"/>
      <c r="I818" s="36"/>
      <c r="J818" s="36"/>
      <c r="K818" s="36"/>
      <c r="L818" s="450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75" customHeight="1">
      <c r="A819" s="36"/>
      <c r="B819" s="432"/>
      <c r="C819" s="432"/>
      <c r="D819" s="446"/>
      <c r="E819" s="36"/>
      <c r="F819" s="36"/>
      <c r="G819" s="432"/>
      <c r="H819" s="432"/>
      <c r="I819" s="36"/>
      <c r="J819" s="36"/>
      <c r="K819" s="36"/>
      <c r="L819" s="450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75" customHeight="1">
      <c r="A820" s="36"/>
      <c r="B820" s="432"/>
      <c r="C820" s="432"/>
      <c r="D820" s="446"/>
      <c r="E820" s="36"/>
      <c r="F820" s="36"/>
      <c r="G820" s="432"/>
      <c r="H820" s="432"/>
      <c r="I820" s="36"/>
      <c r="J820" s="36"/>
      <c r="K820" s="36"/>
      <c r="L820" s="450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75" customHeight="1">
      <c r="A821" s="36"/>
      <c r="B821" s="432"/>
      <c r="C821" s="432"/>
      <c r="D821" s="446"/>
      <c r="E821" s="36"/>
      <c r="F821" s="36"/>
      <c r="G821" s="432"/>
      <c r="H821" s="432"/>
      <c r="I821" s="36"/>
      <c r="J821" s="36"/>
      <c r="K821" s="36"/>
      <c r="L821" s="450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75" customHeight="1">
      <c r="A822" s="36"/>
      <c r="B822" s="432"/>
      <c r="C822" s="432"/>
      <c r="D822" s="446"/>
      <c r="E822" s="36"/>
      <c r="F822" s="36"/>
      <c r="G822" s="432"/>
      <c r="H822" s="432"/>
      <c r="I822" s="36"/>
      <c r="J822" s="36"/>
      <c r="K822" s="36"/>
      <c r="L822" s="450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75" customHeight="1">
      <c r="A823" s="36"/>
      <c r="B823" s="432"/>
      <c r="C823" s="432"/>
      <c r="D823" s="446"/>
      <c r="E823" s="36"/>
      <c r="F823" s="36"/>
      <c r="G823" s="432"/>
      <c r="H823" s="432"/>
      <c r="I823" s="36"/>
      <c r="J823" s="36"/>
      <c r="K823" s="36"/>
      <c r="L823" s="450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75" customHeight="1">
      <c r="A824" s="36"/>
      <c r="B824" s="432"/>
      <c r="C824" s="432"/>
      <c r="D824" s="446"/>
      <c r="E824" s="36"/>
      <c r="F824" s="36"/>
      <c r="G824" s="432"/>
      <c r="H824" s="432"/>
      <c r="I824" s="36"/>
      <c r="J824" s="36"/>
      <c r="K824" s="36"/>
      <c r="L824" s="450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75" customHeight="1">
      <c r="A825" s="36"/>
      <c r="B825" s="432"/>
      <c r="C825" s="432"/>
      <c r="D825" s="446"/>
      <c r="E825" s="36"/>
      <c r="F825" s="36"/>
      <c r="G825" s="432"/>
      <c r="H825" s="432"/>
      <c r="I825" s="36"/>
      <c r="J825" s="36"/>
      <c r="K825" s="36"/>
      <c r="L825" s="450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75" customHeight="1">
      <c r="A826" s="36"/>
      <c r="B826" s="432"/>
      <c r="C826" s="432"/>
      <c r="D826" s="446"/>
      <c r="E826" s="36"/>
      <c r="F826" s="36"/>
      <c r="G826" s="432"/>
      <c r="H826" s="432"/>
      <c r="I826" s="36"/>
      <c r="J826" s="36"/>
      <c r="K826" s="36"/>
      <c r="L826" s="450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75" customHeight="1">
      <c r="A827" s="36"/>
      <c r="B827" s="432"/>
      <c r="C827" s="432"/>
      <c r="D827" s="446"/>
      <c r="E827" s="36"/>
      <c r="F827" s="36"/>
      <c r="G827" s="432"/>
      <c r="H827" s="432"/>
      <c r="I827" s="36"/>
      <c r="J827" s="36"/>
      <c r="K827" s="36"/>
      <c r="L827" s="450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75" customHeight="1">
      <c r="A828" s="36"/>
      <c r="B828" s="432"/>
      <c r="C828" s="432"/>
      <c r="D828" s="446"/>
      <c r="E828" s="36"/>
      <c r="F828" s="36"/>
      <c r="G828" s="432"/>
      <c r="H828" s="432"/>
      <c r="I828" s="36"/>
      <c r="J828" s="36"/>
      <c r="K828" s="36"/>
      <c r="L828" s="450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75" customHeight="1">
      <c r="A829" s="36"/>
      <c r="B829" s="432"/>
      <c r="C829" s="432"/>
      <c r="D829" s="446"/>
      <c r="E829" s="36"/>
      <c r="F829" s="36"/>
      <c r="G829" s="432"/>
      <c r="H829" s="432"/>
      <c r="I829" s="36"/>
      <c r="J829" s="36"/>
      <c r="K829" s="36"/>
      <c r="L829" s="450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75" customHeight="1">
      <c r="A830" s="36"/>
      <c r="B830" s="432"/>
      <c r="C830" s="432"/>
      <c r="D830" s="446"/>
      <c r="E830" s="36"/>
      <c r="F830" s="36"/>
      <c r="G830" s="432"/>
      <c r="H830" s="432"/>
      <c r="I830" s="36"/>
      <c r="J830" s="36"/>
      <c r="K830" s="36"/>
      <c r="L830" s="450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75" customHeight="1">
      <c r="A831" s="36"/>
      <c r="B831" s="432"/>
      <c r="C831" s="432"/>
      <c r="D831" s="446"/>
      <c r="E831" s="36"/>
      <c r="F831" s="36"/>
      <c r="G831" s="432"/>
      <c r="H831" s="432"/>
      <c r="I831" s="36"/>
      <c r="J831" s="36"/>
      <c r="K831" s="36"/>
      <c r="L831" s="450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75" customHeight="1">
      <c r="A832" s="36"/>
      <c r="B832" s="432"/>
      <c r="C832" s="432"/>
      <c r="D832" s="446"/>
      <c r="E832" s="36"/>
      <c r="F832" s="36"/>
      <c r="G832" s="432"/>
      <c r="H832" s="432"/>
      <c r="I832" s="36"/>
      <c r="J832" s="36"/>
      <c r="K832" s="36"/>
      <c r="L832" s="450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75" customHeight="1">
      <c r="A833" s="36"/>
      <c r="B833" s="432"/>
      <c r="C833" s="432"/>
      <c r="D833" s="446"/>
      <c r="E833" s="36"/>
      <c r="F833" s="36"/>
      <c r="G833" s="432"/>
      <c r="H833" s="432"/>
      <c r="I833" s="36"/>
      <c r="J833" s="36"/>
      <c r="K833" s="36"/>
      <c r="L833" s="450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75" customHeight="1">
      <c r="A834" s="36"/>
      <c r="B834" s="432"/>
      <c r="C834" s="432"/>
      <c r="D834" s="446"/>
      <c r="E834" s="36"/>
      <c r="F834" s="36"/>
      <c r="G834" s="432"/>
      <c r="H834" s="432"/>
      <c r="I834" s="36"/>
      <c r="J834" s="36"/>
      <c r="K834" s="36"/>
      <c r="L834" s="450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75" customHeight="1">
      <c r="A835" s="36"/>
      <c r="B835" s="432"/>
      <c r="C835" s="432"/>
      <c r="D835" s="446"/>
      <c r="E835" s="36"/>
      <c r="F835" s="36"/>
      <c r="G835" s="432"/>
      <c r="H835" s="432"/>
      <c r="I835" s="36"/>
      <c r="J835" s="36"/>
      <c r="K835" s="36"/>
      <c r="L835" s="450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75" customHeight="1">
      <c r="A836" s="36"/>
      <c r="B836" s="432"/>
      <c r="C836" s="432"/>
      <c r="D836" s="446"/>
      <c r="E836" s="36"/>
      <c r="F836" s="36"/>
      <c r="G836" s="432"/>
      <c r="H836" s="432"/>
      <c r="I836" s="36"/>
      <c r="J836" s="36"/>
      <c r="K836" s="36"/>
      <c r="L836" s="450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75" customHeight="1">
      <c r="A837" s="36"/>
      <c r="B837" s="432"/>
      <c r="C837" s="432"/>
      <c r="D837" s="446"/>
      <c r="E837" s="36"/>
      <c r="F837" s="36"/>
      <c r="G837" s="432"/>
      <c r="H837" s="432"/>
      <c r="I837" s="36"/>
      <c r="J837" s="36"/>
      <c r="K837" s="36"/>
      <c r="L837" s="450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75" customHeight="1">
      <c r="A838" s="36"/>
      <c r="B838" s="432"/>
      <c r="C838" s="432"/>
      <c r="D838" s="446"/>
      <c r="E838" s="36"/>
      <c r="F838" s="36"/>
      <c r="G838" s="432"/>
      <c r="H838" s="432"/>
      <c r="I838" s="36"/>
      <c r="J838" s="36"/>
      <c r="K838" s="36"/>
      <c r="L838" s="450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75" customHeight="1">
      <c r="A839" s="36"/>
      <c r="B839" s="432"/>
      <c r="C839" s="432"/>
      <c r="D839" s="446"/>
      <c r="E839" s="36"/>
      <c r="F839" s="36"/>
      <c r="G839" s="432"/>
      <c r="H839" s="432"/>
      <c r="I839" s="36"/>
      <c r="J839" s="36"/>
      <c r="K839" s="36"/>
      <c r="L839" s="450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75" customHeight="1">
      <c r="A840" s="36"/>
      <c r="B840" s="432"/>
      <c r="C840" s="432"/>
      <c r="D840" s="446"/>
      <c r="E840" s="36"/>
      <c r="F840" s="36"/>
      <c r="G840" s="432"/>
      <c r="H840" s="432"/>
      <c r="I840" s="36"/>
      <c r="J840" s="36"/>
      <c r="K840" s="36"/>
      <c r="L840" s="450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75" customHeight="1">
      <c r="A841" s="36"/>
      <c r="B841" s="432"/>
      <c r="C841" s="432"/>
      <c r="D841" s="446"/>
      <c r="E841" s="36"/>
      <c r="F841" s="36"/>
      <c r="G841" s="432"/>
      <c r="H841" s="432"/>
      <c r="I841" s="36"/>
      <c r="J841" s="36"/>
      <c r="K841" s="36"/>
      <c r="L841" s="450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75" customHeight="1">
      <c r="A842" s="36"/>
      <c r="B842" s="432"/>
      <c r="C842" s="432"/>
      <c r="D842" s="446"/>
      <c r="E842" s="36"/>
      <c r="F842" s="36"/>
      <c r="G842" s="432"/>
      <c r="H842" s="432"/>
      <c r="I842" s="36"/>
      <c r="J842" s="36"/>
      <c r="K842" s="36"/>
      <c r="L842" s="450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75" customHeight="1">
      <c r="A843" s="36"/>
      <c r="B843" s="432"/>
      <c r="C843" s="432"/>
      <c r="D843" s="446"/>
      <c r="E843" s="36"/>
      <c r="F843" s="36"/>
      <c r="G843" s="432"/>
      <c r="H843" s="432"/>
      <c r="I843" s="36"/>
      <c r="J843" s="36"/>
      <c r="K843" s="36"/>
      <c r="L843" s="450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75" customHeight="1">
      <c r="A844" s="36"/>
      <c r="B844" s="432"/>
      <c r="C844" s="432"/>
      <c r="D844" s="446"/>
      <c r="E844" s="36"/>
      <c r="F844" s="36"/>
      <c r="G844" s="432"/>
      <c r="H844" s="432"/>
      <c r="I844" s="36"/>
      <c r="J844" s="36"/>
      <c r="K844" s="36"/>
      <c r="L844" s="450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75" customHeight="1">
      <c r="A845" s="36"/>
      <c r="B845" s="432"/>
      <c r="C845" s="432"/>
      <c r="D845" s="446"/>
      <c r="E845" s="36"/>
      <c r="F845" s="36"/>
      <c r="G845" s="432"/>
      <c r="H845" s="432"/>
      <c r="I845" s="36"/>
      <c r="J845" s="36"/>
      <c r="K845" s="36"/>
      <c r="L845" s="450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75" customHeight="1">
      <c r="A846" s="36"/>
      <c r="B846" s="432"/>
      <c r="C846" s="432"/>
      <c r="D846" s="446"/>
      <c r="E846" s="36"/>
      <c r="F846" s="36"/>
      <c r="G846" s="432"/>
      <c r="H846" s="432"/>
      <c r="I846" s="36"/>
      <c r="J846" s="36"/>
      <c r="K846" s="36"/>
      <c r="L846" s="450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75" customHeight="1">
      <c r="A847" s="36"/>
      <c r="B847" s="432"/>
      <c r="C847" s="432"/>
      <c r="D847" s="446"/>
      <c r="E847" s="36"/>
      <c r="F847" s="36"/>
      <c r="G847" s="432"/>
      <c r="H847" s="432"/>
      <c r="I847" s="36"/>
      <c r="J847" s="36"/>
      <c r="K847" s="36"/>
      <c r="L847" s="450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75" customHeight="1">
      <c r="A848" s="36"/>
      <c r="B848" s="432"/>
      <c r="C848" s="432"/>
      <c r="D848" s="446"/>
      <c r="E848" s="36"/>
      <c r="F848" s="36"/>
      <c r="G848" s="432"/>
      <c r="H848" s="432"/>
      <c r="I848" s="36"/>
      <c r="J848" s="36"/>
      <c r="K848" s="36"/>
      <c r="L848" s="450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75" customHeight="1">
      <c r="A849" s="36"/>
      <c r="B849" s="432"/>
      <c r="C849" s="432"/>
      <c r="D849" s="446"/>
      <c r="E849" s="36"/>
      <c r="F849" s="36"/>
      <c r="G849" s="432"/>
      <c r="H849" s="432"/>
      <c r="I849" s="36"/>
      <c r="J849" s="36"/>
      <c r="K849" s="36"/>
      <c r="L849" s="450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75" customHeight="1">
      <c r="A850" s="36"/>
      <c r="B850" s="432"/>
      <c r="C850" s="432"/>
      <c r="D850" s="446"/>
      <c r="E850" s="36"/>
      <c r="F850" s="36"/>
      <c r="G850" s="432"/>
      <c r="H850" s="432"/>
      <c r="I850" s="36"/>
      <c r="J850" s="36"/>
      <c r="K850" s="36"/>
      <c r="L850" s="450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75" customHeight="1">
      <c r="A851" s="36"/>
      <c r="B851" s="432"/>
      <c r="C851" s="432"/>
      <c r="D851" s="446"/>
      <c r="E851" s="36"/>
      <c r="F851" s="36"/>
      <c r="G851" s="432"/>
      <c r="H851" s="432"/>
      <c r="I851" s="36"/>
      <c r="J851" s="36"/>
      <c r="K851" s="36"/>
      <c r="L851" s="450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75" customHeight="1">
      <c r="A852" s="36"/>
      <c r="B852" s="432"/>
      <c r="C852" s="432"/>
      <c r="D852" s="446"/>
      <c r="E852" s="36"/>
      <c r="F852" s="36"/>
      <c r="G852" s="432"/>
      <c r="H852" s="432"/>
      <c r="I852" s="36"/>
      <c r="J852" s="36"/>
      <c r="K852" s="36"/>
      <c r="L852" s="450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75" customHeight="1">
      <c r="A853" s="36"/>
      <c r="B853" s="432"/>
      <c r="C853" s="432"/>
      <c r="D853" s="446"/>
      <c r="E853" s="36"/>
      <c r="F853" s="36"/>
      <c r="G853" s="432"/>
      <c r="H853" s="432"/>
      <c r="I853" s="36"/>
      <c r="J853" s="36"/>
      <c r="K853" s="36"/>
      <c r="L853" s="450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75" customHeight="1">
      <c r="A854" s="36"/>
      <c r="B854" s="432"/>
      <c r="C854" s="432"/>
      <c r="D854" s="446"/>
      <c r="E854" s="36"/>
      <c r="F854" s="36"/>
      <c r="G854" s="432"/>
      <c r="H854" s="432"/>
      <c r="I854" s="36"/>
      <c r="J854" s="36"/>
      <c r="K854" s="36"/>
      <c r="L854" s="450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75" customHeight="1">
      <c r="A855" s="36"/>
      <c r="B855" s="432"/>
      <c r="C855" s="432"/>
      <c r="D855" s="446"/>
      <c r="E855" s="36"/>
      <c r="F855" s="36"/>
      <c r="G855" s="432"/>
      <c r="H855" s="432"/>
      <c r="I855" s="36"/>
      <c r="J855" s="36"/>
      <c r="K855" s="36"/>
      <c r="L855" s="450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75" customHeight="1">
      <c r="A856" s="36"/>
      <c r="B856" s="432"/>
      <c r="C856" s="432"/>
      <c r="D856" s="446"/>
      <c r="E856" s="36"/>
      <c r="F856" s="36"/>
      <c r="G856" s="432"/>
      <c r="H856" s="432"/>
      <c r="I856" s="36"/>
      <c r="J856" s="36"/>
      <c r="K856" s="36"/>
      <c r="L856" s="450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75" customHeight="1">
      <c r="A857" s="36"/>
      <c r="B857" s="432"/>
      <c r="C857" s="432"/>
      <c r="D857" s="446"/>
      <c r="E857" s="36"/>
      <c r="F857" s="36"/>
      <c r="G857" s="432"/>
      <c r="H857" s="432"/>
      <c r="I857" s="36"/>
      <c r="J857" s="36"/>
      <c r="K857" s="36"/>
      <c r="L857" s="450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75" customHeight="1">
      <c r="A858" s="36"/>
      <c r="B858" s="432"/>
      <c r="C858" s="432"/>
      <c r="D858" s="446"/>
      <c r="E858" s="36"/>
      <c r="F858" s="36"/>
      <c r="G858" s="432"/>
      <c r="H858" s="432"/>
      <c r="I858" s="36"/>
      <c r="J858" s="36"/>
      <c r="K858" s="36"/>
      <c r="L858" s="450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75" customHeight="1">
      <c r="A859" s="36"/>
      <c r="B859" s="432"/>
      <c r="C859" s="432"/>
      <c r="D859" s="446"/>
      <c r="E859" s="36"/>
      <c r="F859" s="36"/>
      <c r="G859" s="432"/>
      <c r="H859" s="432"/>
      <c r="I859" s="36"/>
      <c r="J859" s="36"/>
      <c r="K859" s="36"/>
      <c r="L859" s="450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75" customHeight="1">
      <c r="A860" s="36"/>
      <c r="B860" s="432"/>
      <c r="C860" s="432"/>
      <c r="D860" s="446"/>
      <c r="E860" s="36"/>
      <c r="F860" s="36"/>
      <c r="G860" s="432"/>
      <c r="H860" s="432"/>
      <c r="I860" s="36"/>
      <c r="J860" s="36"/>
      <c r="K860" s="36"/>
      <c r="L860" s="450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75" customHeight="1">
      <c r="A861" s="36"/>
      <c r="B861" s="432"/>
      <c r="C861" s="432"/>
      <c r="D861" s="446"/>
      <c r="E861" s="36"/>
      <c r="F861" s="36"/>
      <c r="G861" s="432"/>
      <c r="H861" s="432"/>
      <c r="I861" s="36"/>
      <c r="J861" s="36"/>
      <c r="K861" s="36"/>
      <c r="L861" s="450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75" customHeight="1">
      <c r="A862" s="36"/>
      <c r="B862" s="432"/>
      <c r="C862" s="432"/>
      <c r="D862" s="446"/>
      <c r="E862" s="36"/>
      <c r="F862" s="36"/>
      <c r="G862" s="432"/>
      <c r="H862" s="432"/>
      <c r="I862" s="36"/>
      <c r="J862" s="36"/>
      <c r="K862" s="36"/>
      <c r="L862" s="450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75" customHeight="1">
      <c r="A863" s="36"/>
      <c r="B863" s="432"/>
      <c r="C863" s="432"/>
      <c r="D863" s="446"/>
      <c r="E863" s="36"/>
      <c r="F863" s="36"/>
      <c r="G863" s="432"/>
      <c r="H863" s="432"/>
      <c r="I863" s="36"/>
      <c r="J863" s="36"/>
      <c r="K863" s="36"/>
      <c r="L863" s="450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75" customHeight="1">
      <c r="A864" s="36"/>
      <c r="B864" s="432"/>
      <c r="C864" s="432"/>
      <c r="D864" s="446"/>
      <c r="E864" s="36"/>
      <c r="F864" s="36"/>
      <c r="G864" s="432"/>
      <c r="H864" s="432"/>
      <c r="I864" s="36"/>
      <c r="J864" s="36"/>
      <c r="K864" s="36"/>
      <c r="L864" s="450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75" customHeight="1">
      <c r="A865" s="36"/>
      <c r="B865" s="432"/>
      <c r="C865" s="432"/>
      <c r="D865" s="446"/>
      <c r="E865" s="36"/>
      <c r="F865" s="36"/>
      <c r="G865" s="432"/>
      <c r="H865" s="432"/>
      <c r="I865" s="36"/>
      <c r="J865" s="36"/>
      <c r="K865" s="36"/>
      <c r="L865" s="450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75" customHeight="1">
      <c r="A866" s="36"/>
      <c r="B866" s="432"/>
      <c r="C866" s="432"/>
      <c r="D866" s="446"/>
      <c r="E866" s="36"/>
      <c r="F866" s="36"/>
      <c r="G866" s="432"/>
      <c r="H866" s="432"/>
      <c r="I866" s="36"/>
      <c r="J866" s="36"/>
      <c r="K866" s="36"/>
      <c r="L866" s="450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75" customHeight="1">
      <c r="A867" s="36"/>
      <c r="B867" s="432"/>
      <c r="C867" s="432"/>
      <c r="D867" s="446"/>
      <c r="E867" s="36"/>
      <c r="F867" s="36"/>
      <c r="G867" s="432"/>
      <c r="H867" s="432"/>
      <c r="I867" s="36"/>
      <c r="J867" s="36"/>
      <c r="K867" s="36"/>
      <c r="L867" s="450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75" customHeight="1">
      <c r="A868" s="36"/>
      <c r="B868" s="432"/>
      <c r="C868" s="432"/>
      <c r="D868" s="446"/>
      <c r="E868" s="36"/>
      <c r="F868" s="36"/>
      <c r="G868" s="432"/>
      <c r="H868" s="432"/>
      <c r="I868" s="36"/>
      <c r="J868" s="36"/>
      <c r="K868" s="36"/>
      <c r="L868" s="450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75" customHeight="1">
      <c r="A869" s="36"/>
      <c r="B869" s="432"/>
      <c r="C869" s="432"/>
      <c r="D869" s="446"/>
      <c r="E869" s="36"/>
      <c r="F869" s="36"/>
      <c r="G869" s="432"/>
      <c r="H869" s="432"/>
      <c r="I869" s="36"/>
      <c r="J869" s="36"/>
      <c r="K869" s="36"/>
      <c r="L869" s="450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75" customHeight="1">
      <c r="A870" s="36"/>
      <c r="B870" s="432"/>
      <c r="C870" s="432"/>
      <c r="D870" s="446"/>
      <c r="E870" s="36"/>
      <c r="F870" s="36"/>
      <c r="G870" s="432"/>
      <c r="H870" s="432"/>
      <c r="I870" s="36"/>
      <c r="J870" s="36"/>
      <c r="K870" s="36"/>
      <c r="L870" s="450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75" customHeight="1">
      <c r="A871" s="36"/>
      <c r="B871" s="432"/>
      <c r="C871" s="432"/>
      <c r="D871" s="446"/>
      <c r="E871" s="36"/>
      <c r="F871" s="36"/>
      <c r="G871" s="432"/>
      <c r="H871" s="432"/>
      <c r="I871" s="36"/>
      <c r="J871" s="36"/>
      <c r="K871" s="36"/>
      <c r="L871" s="450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75" customHeight="1">
      <c r="A872" s="36"/>
      <c r="B872" s="432"/>
      <c r="C872" s="432"/>
      <c r="D872" s="446"/>
      <c r="E872" s="36"/>
      <c r="F872" s="36"/>
      <c r="G872" s="432"/>
      <c r="H872" s="432"/>
      <c r="I872" s="36"/>
      <c r="J872" s="36"/>
      <c r="K872" s="36"/>
      <c r="L872" s="450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75" customHeight="1">
      <c r="A873" s="36"/>
      <c r="B873" s="432"/>
      <c r="C873" s="432"/>
      <c r="D873" s="446"/>
      <c r="E873" s="36"/>
      <c r="F873" s="36"/>
      <c r="G873" s="432"/>
      <c r="H873" s="432"/>
      <c r="I873" s="36"/>
      <c r="J873" s="36"/>
      <c r="K873" s="36"/>
      <c r="L873" s="450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75" customHeight="1">
      <c r="A874" s="36"/>
      <c r="B874" s="432"/>
      <c r="C874" s="432"/>
      <c r="D874" s="446"/>
      <c r="E874" s="36"/>
      <c r="F874" s="36"/>
      <c r="G874" s="432"/>
      <c r="H874" s="432"/>
      <c r="I874" s="36"/>
      <c r="J874" s="36"/>
      <c r="K874" s="36"/>
      <c r="L874" s="450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75" customHeight="1">
      <c r="A875" s="36"/>
      <c r="B875" s="432"/>
      <c r="C875" s="432"/>
      <c r="D875" s="446"/>
      <c r="E875" s="36"/>
      <c r="F875" s="36"/>
      <c r="G875" s="432"/>
      <c r="H875" s="432"/>
      <c r="I875" s="36"/>
      <c r="J875" s="36"/>
      <c r="K875" s="36"/>
      <c r="L875" s="450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75" customHeight="1">
      <c r="A876" s="36"/>
      <c r="B876" s="432"/>
      <c r="C876" s="432"/>
      <c r="D876" s="446"/>
      <c r="E876" s="36"/>
      <c r="F876" s="36"/>
      <c r="G876" s="432"/>
      <c r="H876" s="432"/>
      <c r="I876" s="36"/>
      <c r="J876" s="36"/>
      <c r="K876" s="36"/>
      <c r="L876" s="450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75" customHeight="1">
      <c r="A877" s="36"/>
      <c r="B877" s="432"/>
      <c r="C877" s="432"/>
      <c r="D877" s="446"/>
      <c r="E877" s="36"/>
      <c r="F877" s="36"/>
      <c r="G877" s="432"/>
      <c r="H877" s="432"/>
      <c r="I877" s="36"/>
      <c r="J877" s="36"/>
      <c r="K877" s="36"/>
      <c r="L877" s="450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75" customHeight="1">
      <c r="A878" s="36"/>
      <c r="B878" s="432"/>
      <c r="C878" s="432"/>
      <c r="D878" s="446"/>
      <c r="E878" s="36"/>
      <c r="F878" s="36"/>
      <c r="G878" s="432"/>
      <c r="H878" s="432"/>
      <c r="I878" s="36"/>
      <c r="J878" s="36"/>
      <c r="K878" s="36"/>
      <c r="L878" s="450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75" customHeight="1">
      <c r="A879" s="36"/>
      <c r="B879" s="432"/>
      <c r="C879" s="432"/>
      <c r="D879" s="446"/>
      <c r="E879" s="36"/>
      <c r="F879" s="36"/>
      <c r="G879" s="432"/>
      <c r="H879" s="432"/>
      <c r="I879" s="36"/>
      <c r="J879" s="36"/>
      <c r="K879" s="36"/>
      <c r="L879" s="450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75" customHeight="1">
      <c r="A880" s="36"/>
      <c r="B880" s="432"/>
      <c r="C880" s="432"/>
      <c r="D880" s="446"/>
      <c r="E880" s="36"/>
      <c r="F880" s="36"/>
      <c r="G880" s="432"/>
      <c r="H880" s="432"/>
      <c r="I880" s="36"/>
      <c r="J880" s="36"/>
      <c r="K880" s="36"/>
      <c r="L880" s="450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75" customHeight="1">
      <c r="A881" s="36"/>
      <c r="B881" s="432"/>
      <c r="C881" s="432"/>
      <c r="D881" s="446"/>
      <c r="E881" s="36"/>
      <c r="F881" s="36"/>
      <c r="G881" s="432"/>
      <c r="H881" s="432"/>
      <c r="I881" s="36"/>
      <c r="J881" s="36"/>
      <c r="K881" s="36"/>
      <c r="L881" s="450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75" customHeight="1">
      <c r="A882" s="36"/>
      <c r="B882" s="432"/>
      <c r="C882" s="432"/>
      <c r="D882" s="446"/>
      <c r="E882" s="36"/>
      <c r="F882" s="36"/>
      <c r="G882" s="432"/>
      <c r="H882" s="432"/>
      <c r="I882" s="36"/>
      <c r="J882" s="36"/>
      <c r="K882" s="36"/>
      <c r="L882" s="450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75" customHeight="1">
      <c r="A883" s="36"/>
      <c r="B883" s="432"/>
      <c r="C883" s="432"/>
      <c r="D883" s="446"/>
      <c r="E883" s="36"/>
      <c r="F883" s="36"/>
      <c r="G883" s="432"/>
      <c r="H883" s="432"/>
      <c r="I883" s="36"/>
      <c r="J883" s="36"/>
      <c r="K883" s="36"/>
      <c r="L883" s="450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75" customHeight="1">
      <c r="A884" s="36"/>
      <c r="B884" s="432"/>
      <c r="C884" s="432"/>
      <c r="D884" s="446"/>
      <c r="E884" s="36"/>
      <c r="F884" s="36"/>
      <c r="G884" s="432"/>
      <c r="H884" s="432"/>
      <c r="I884" s="36"/>
      <c r="J884" s="36"/>
      <c r="K884" s="36"/>
      <c r="L884" s="450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75" customHeight="1">
      <c r="A885" s="36"/>
      <c r="B885" s="432"/>
      <c r="C885" s="432"/>
      <c r="D885" s="446"/>
      <c r="E885" s="36"/>
      <c r="F885" s="36"/>
      <c r="G885" s="432"/>
      <c r="H885" s="432"/>
      <c r="I885" s="36"/>
      <c r="J885" s="36"/>
      <c r="K885" s="36"/>
      <c r="L885" s="450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75" customHeight="1">
      <c r="A886" s="36"/>
      <c r="B886" s="432"/>
      <c r="C886" s="432"/>
      <c r="D886" s="446"/>
      <c r="E886" s="36"/>
      <c r="F886" s="36"/>
      <c r="G886" s="432"/>
      <c r="H886" s="432"/>
      <c r="I886" s="36"/>
      <c r="J886" s="36"/>
      <c r="K886" s="36"/>
      <c r="L886" s="450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75" customHeight="1">
      <c r="A887" s="36"/>
      <c r="B887" s="432"/>
      <c r="C887" s="432"/>
      <c r="D887" s="446"/>
      <c r="E887" s="36"/>
      <c r="F887" s="36"/>
      <c r="G887" s="432"/>
      <c r="H887" s="432"/>
      <c r="I887" s="36"/>
      <c r="J887" s="36"/>
      <c r="K887" s="36"/>
      <c r="L887" s="450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75" customHeight="1">
      <c r="A888" s="36"/>
      <c r="B888" s="432"/>
      <c r="C888" s="432"/>
      <c r="D888" s="446"/>
      <c r="E888" s="36"/>
      <c r="F888" s="36"/>
      <c r="G888" s="432"/>
      <c r="H888" s="432"/>
      <c r="I888" s="36"/>
      <c r="J888" s="36"/>
      <c r="K888" s="36"/>
      <c r="L888" s="450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75" customHeight="1">
      <c r="A889" s="36"/>
      <c r="B889" s="432"/>
      <c r="C889" s="432"/>
      <c r="D889" s="446"/>
      <c r="E889" s="36"/>
      <c r="F889" s="36"/>
      <c r="G889" s="432"/>
      <c r="H889" s="432"/>
      <c r="I889" s="36"/>
      <c r="J889" s="36"/>
      <c r="K889" s="36"/>
      <c r="L889" s="450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75" customHeight="1">
      <c r="A890" s="36"/>
      <c r="B890" s="432"/>
      <c r="C890" s="432"/>
      <c r="D890" s="446"/>
      <c r="E890" s="36"/>
      <c r="F890" s="36"/>
      <c r="G890" s="432"/>
      <c r="H890" s="432"/>
      <c r="I890" s="36"/>
      <c r="J890" s="36"/>
      <c r="K890" s="36"/>
      <c r="L890" s="450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75" customHeight="1">
      <c r="A891" s="36"/>
      <c r="B891" s="432"/>
      <c r="C891" s="432"/>
      <c r="D891" s="446"/>
      <c r="E891" s="36"/>
      <c r="F891" s="36"/>
      <c r="G891" s="432"/>
      <c r="H891" s="432"/>
      <c r="I891" s="36"/>
      <c r="J891" s="36"/>
      <c r="K891" s="36"/>
      <c r="L891" s="450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75" customHeight="1">
      <c r="A892" s="36"/>
      <c r="B892" s="432"/>
      <c r="C892" s="432"/>
      <c r="D892" s="446"/>
      <c r="E892" s="36"/>
      <c r="F892" s="36"/>
      <c r="G892" s="432"/>
      <c r="H892" s="432"/>
      <c r="I892" s="36"/>
      <c r="J892" s="36"/>
      <c r="K892" s="36"/>
      <c r="L892" s="450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75" customHeight="1">
      <c r="A893" s="36"/>
      <c r="B893" s="432"/>
      <c r="C893" s="432"/>
      <c r="D893" s="446"/>
      <c r="E893" s="36"/>
      <c r="F893" s="36"/>
      <c r="G893" s="432"/>
      <c r="H893" s="432"/>
      <c r="I893" s="36"/>
      <c r="J893" s="36"/>
      <c r="K893" s="36"/>
      <c r="L893" s="450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75" customHeight="1">
      <c r="A894" s="36"/>
      <c r="B894" s="432"/>
      <c r="C894" s="432"/>
      <c r="D894" s="446"/>
      <c r="E894" s="36"/>
      <c r="F894" s="36"/>
      <c r="G894" s="432"/>
      <c r="H894" s="432"/>
      <c r="I894" s="36"/>
      <c r="J894" s="36"/>
      <c r="K894" s="36"/>
      <c r="L894" s="450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75" customHeight="1">
      <c r="A895" s="36"/>
      <c r="B895" s="432"/>
      <c r="C895" s="432"/>
      <c r="D895" s="446"/>
      <c r="E895" s="36"/>
      <c r="F895" s="36"/>
      <c r="G895" s="432"/>
      <c r="H895" s="432"/>
      <c r="I895" s="36"/>
      <c r="J895" s="36"/>
      <c r="K895" s="36"/>
      <c r="L895" s="450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75" customHeight="1">
      <c r="A896" s="36"/>
      <c r="B896" s="432"/>
      <c r="C896" s="432"/>
      <c r="D896" s="446"/>
      <c r="E896" s="36"/>
      <c r="F896" s="36"/>
      <c r="G896" s="432"/>
      <c r="H896" s="432"/>
      <c r="I896" s="36"/>
      <c r="J896" s="36"/>
      <c r="K896" s="36"/>
      <c r="L896" s="450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75" customHeight="1">
      <c r="A897" s="36"/>
      <c r="B897" s="432"/>
      <c r="C897" s="432"/>
      <c r="D897" s="446"/>
      <c r="E897" s="36"/>
      <c r="F897" s="36"/>
      <c r="G897" s="432"/>
      <c r="H897" s="432"/>
      <c r="I897" s="36"/>
      <c r="J897" s="36"/>
      <c r="K897" s="36"/>
      <c r="L897" s="450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75" customHeight="1">
      <c r="A898" s="36"/>
      <c r="B898" s="432"/>
      <c r="C898" s="432"/>
      <c r="D898" s="446"/>
      <c r="E898" s="36"/>
      <c r="F898" s="36"/>
      <c r="G898" s="432"/>
      <c r="H898" s="432"/>
      <c r="I898" s="36"/>
      <c r="J898" s="36"/>
      <c r="K898" s="36"/>
      <c r="L898" s="450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75" customHeight="1">
      <c r="A899" s="36"/>
      <c r="B899" s="432"/>
      <c r="C899" s="432"/>
      <c r="D899" s="446"/>
      <c r="E899" s="36"/>
      <c r="F899" s="36"/>
      <c r="G899" s="432"/>
      <c r="H899" s="432"/>
      <c r="I899" s="36"/>
      <c r="J899" s="36"/>
      <c r="K899" s="36"/>
      <c r="L899" s="450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75" customHeight="1">
      <c r="A900" s="36"/>
      <c r="B900" s="432"/>
      <c r="C900" s="432"/>
      <c r="D900" s="446"/>
      <c r="E900" s="36"/>
      <c r="F900" s="36"/>
      <c r="G900" s="432"/>
      <c r="H900" s="432"/>
      <c r="I900" s="36"/>
      <c r="J900" s="36"/>
      <c r="K900" s="36"/>
      <c r="L900" s="450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75" customHeight="1">
      <c r="A901" s="36"/>
      <c r="B901" s="432"/>
      <c r="C901" s="432"/>
      <c r="D901" s="446"/>
      <c r="E901" s="36"/>
      <c r="F901" s="36"/>
      <c r="G901" s="432"/>
      <c r="H901" s="432"/>
      <c r="I901" s="36"/>
      <c r="J901" s="36"/>
      <c r="K901" s="36"/>
      <c r="L901" s="450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75" customHeight="1">
      <c r="A902" s="36"/>
      <c r="B902" s="432"/>
      <c r="C902" s="432"/>
      <c r="D902" s="446"/>
      <c r="E902" s="36"/>
      <c r="F902" s="36"/>
      <c r="G902" s="432"/>
      <c r="H902" s="432"/>
      <c r="I902" s="36"/>
      <c r="J902" s="36"/>
      <c r="K902" s="36"/>
      <c r="L902" s="450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75" customHeight="1">
      <c r="A903" s="36"/>
      <c r="B903" s="432"/>
      <c r="C903" s="432"/>
      <c r="D903" s="446"/>
      <c r="E903" s="36"/>
      <c r="F903" s="36"/>
      <c r="G903" s="432"/>
      <c r="H903" s="432"/>
      <c r="I903" s="36"/>
      <c r="J903" s="36"/>
      <c r="K903" s="36"/>
      <c r="L903" s="450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75" customHeight="1">
      <c r="A904" s="36"/>
      <c r="B904" s="432"/>
      <c r="C904" s="432"/>
      <c r="D904" s="446"/>
      <c r="E904" s="36"/>
      <c r="F904" s="36"/>
      <c r="G904" s="432"/>
      <c r="H904" s="432"/>
      <c r="I904" s="36"/>
      <c r="J904" s="36"/>
      <c r="K904" s="36"/>
      <c r="L904" s="450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75" customHeight="1">
      <c r="A905" s="36"/>
      <c r="B905" s="432"/>
      <c r="C905" s="432"/>
      <c r="D905" s="446"/>
      <c r="E905" s="36"/>
      <c r="F905" s="36"/>
      <c r="G905" s="432"/>
      <c r="H905" s="432"/>
      <c r="I905" s="36"/>
      <c r="J905" s="36"/>
      <c r="K905" s="36"/>
      <c r="L905" s="450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75" customHeight="1">
      <c r="A906" s="36"/>
      <c r="B906" s="432"/>
      <c r="C906" s="432"/>
      <c r="D906" s="446"/>
      <c r="E906" s="36"/>
      <c r="F906" s="36"/>
      <c r="G906" s="432"/>
      <c r="H906" s="432"/>
      <c r="I906" s="36"/>
      <c r="J906" s="36"/>
      <c r="K906" s="36"/>
      <c r="L906" s="450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75" customHeight="1">
      <c r="A907" s="36"/>
      <c r="B907" s="432"/>
      <c r="C907" s="432"/>
      <c r="D907" s="446"/>
      <c r="E907" s="36"/>
      <c r="F907" s="36"/>
      <c r="G907" s="432"/>
      <c r="H907" s="432"/>
      <c r="I907" s="36"/>
      <c r="J907" s="36"/>
      <c r="K907" s="36"/>
      <c r="L907" s="450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75" customHeight="1">
      <c r="A908" s="36"/>
      <c r="B908" s="432"/>
      <c r="C908" s="432"/>
      <c r="D908" s="446"/>
      <c r="E908" s="36"/>
      <c r="F908" s="36"/>
      <c r="G908" s="432"/>
      <c r="H908" s="432"/>
      <c r="I908" s="36"/>
      <c r="J908" s="36"/>
      <c r="K908" s="36"/>
      <c r="L908" s="450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75" customHeight="1">
      <c r="A909" s="36"/>
      <c r="B909" s="432"/>
      <c r="C909" s="432"/>
      <c r="D909" s="446"/>
      <c r="E909" s="36"/>
      <c r="F909" s="36"/>
      <c r="G909" s="432"/>
      <c r="H909" s="432"/>
      <c r="I909" s="36"/>
      <c r="J909" s="36"/>
      <c r="K909" s="36"/>
      <c r="L909" s="450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75" customHeight="1">
      <c r="A910" s="36"/>
      <c r="B910" s="432"/>
      <c r="C910" s="432"/>
      <c r="D910" s="446"/>
      <c r="E910" s="36"/>
      <c r="F910" s="36"/>
      <c r="G910" s="432"/>
      <c r="H910" s="432"/>
      <c r="I910" s="36"/>
      <c r="J910" s="36"/>
      <c r="K910" s="36"/>
      <c r="L910" s="450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75" customHeight="1">
      <c r="A911" s="36"/>
      <c r="B911" s="432"/>
      <c r="C911" s="432"/>
      <c r="D911" s="446"/>
      <c r="E911" s="36"/>
      <c r="F911" s="36"/>
      <c r="G911" s="432"/>
      <c r="H911" s="432"/>
      <c r="I911" s="36"/>
      <c r="J911" s="36"/>
      <c r="K911" s="36"/>
      <c r="L911" s="450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75" customHeight="1">
      <c r="A912" s="36"/>
      <c r="B912" s="432"/>
      <c r="C912" s="432"/>
      <c r="D912" s="446"/>
      <c r="E912" s="36"/>
      <c r="F912" s="36"/>
      <c r="G912" s="432"/>
      <c r="H912" s="432"/>
      <c r="I912" s="36"/>
      <c r="J912" s="36"/>
      <c r="K912" s="36"/>
      <c r="L912" s="450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75" customHeight="1">
      <c r="A913" s="36"/>
      <c r="B913" s="432"/>
      <c r="C913" s="432"/>
      <c r="D913" s="446"/>
      <c r="E913" s="36"/>
      <c r="F913" s="36"/>
      <c r="G913" s="432"/>
      <c r="H913" s="432"/>
      <c r="I913" s="36"/>
      <c r="J913" s="36"/>
      <c r="K913" s="36"/>
      <c r="L913" s="450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75" customHeight="1">
      <c r="A914" s="36"/>
      <c r="B914" s="432"/>
      <c r="C914" s="432"/>
      <c r="D914" s="446"/>
      <c r="E914" s="36"/>
      <c r="F914" s="36"/>
      <c r="G914" s="432"/>
      <c r="H914" s="432"/>
      <c r="I914" s="36"/>
      <c r="J914" s="36"/>
      <c r="K914" s="36"/>
      <c r="L914" s="450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75" customHeight="1">
      <c r="A915" s="36"/>
      <c r="B915" s="432"/>
      <c r="C915" s="432"/>
      <c r="D915" s="446"/>
      <c r="E915" s="36"/>
      <c r="F915" s="36"/>
      <c r="G915" s="432"/>
      <c r="H915" s="432"/>
      <c r="I915" s="36"/>
      <c r="J915" s="36"/>
      <c r="K915" s="36"/>
      <c r="L915" s="450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75" customHeight="1">
      <c r="A916" s="36"/>
      <c r="B916" s="432"/>
      <c r="C916" s="432"/>
      <c r="D916" s="446"/>
      <c r="E916" s="36"/>
      <c r="F916" s="36"/>
      <c r="G916" s="432"/>
      <c r="H916" s="432"/>
      <c r="I916" s="36"/>
      <c r="J916" s="36"/>
      <c r="K916" s="36"/>
      <c r="L916" s="450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75" customHeight="1">
      <c r="A917" s="36"/>
      <c r="B917" s="432"/>
      <c r="C917" s="432"/>
      <c r="D917" s="446"/>
      <c r="E917" s="36"/>
      <c r="F917" s="36"/>
      <c r="G917" s="432"/>
      <c r="H917" s="432"/>
      <c r="I917" s="36"/>
      <c r="J917" s="36"/>
      <c r="K917" s="36"/>
      <c r="L917" s="450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75" customHeight="1">
      <c r="A918" s="36"/>
      <c r="B918" s="432"/>
      <c r="C918" s="432"/>
      <c r="D918" s="446"/>
      <c r="E918" s="36"/>
      <c r="F918" s="36"/>
      <c r="G918" s="432"/>
      <c r="H918" s="432"/>
      <c r="I918" s="36"/>
      <c r="J918" s="36"/>
      <c r="K918" s="36"/>
      <c r="L918" s="450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75" customHeight="1">
      <c r="A919" s="36"/>
      <c r="B919" s="432"/>
      <c r="C919" s="432"/>
      <c r="D919" s="446"/>
      <c r="E919" s="36"/>
      <c r="F919" s="36"/>
      <c r="G919" s="432"/>
      <c r="H919" s="432"/>
      <c r="I919" s="36"/>
      <c r="J919" s="36"/>
      <c r="K919" s="36"/>
      <c r="L919" s="450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75" customHeight="1">
      <c r="A920" s="36"/>
      <c r="B920" s="432"/>
      <c r="C920" s="432"/>
      <c r="D920" s="446"/>
      <c r="E920" s="36"/>
      <c r="F920" s="36"/>
      <c r="G920" s="432"/>
      <c r="H920" s="432"/>
      <c r="I920" s="36"/>
      <c r="J920" s="36"/>
      <c r="K920" s="36"/>
      <c r="L920" s="450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75" customHeight="1">
      <c r="A921" s="36"/>
      <c r="B921" s="432"/>
      <c r="C921" s="432"/>
      <c r="D921" s="446"/>
      <c r="E921" s="36"/>
      <c r="F921" s="36"/>
      <c r="G921" s="432"/>
      <c r="H921" s="432"/>
      <c r="I921" s="36"/>
      <c r="J921" s="36"/>
      <c r="K921" s="36"/>
      <c r="L921" s="450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75" customHeight="1">
      <c r="A922" s="36"/>
      <c r="B922" s="432"/>
      <c r="C922" s="432"/>
      <c r="D922" s="446"/>
      <c r="E922" s="36"/>
      <c r="F922" s="36"/>
      <c r="G922" s="432"/>
      <c r="H922" s="432"/>
      <c r="I922" s="36"/>
      <c r="J922" s="36"/>
      <c r="K922" s="36"/>
      <c r="L922" s="450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75" customHeight="1">
      <c r="A923" s="36"/>
      <c r="B923" s="432"/>
      <c r="C923" s="432"/>
      <c r="D923" s="446"/>
      <c r="E923" s="36"/>
      <c r="F923" s="36"/>
      <c r="G923" s="432"/>
      <c r="H923" s="432"/>
      <c r="I923" s="36"/>
      <c r="J923" s="36"/>
      <c r="K923" s="36"/>
      <c r="L923" s="450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75" customHeight="1">
      <c r="A924" s="36"/>
      <c r="B924" s="432"/>
      <c r="C924" s="432"/>
      <c r="D924" s="446"/>
      <c r="E924" s="36"/>
      <c r="F924" s="36"/>
      <c r="G924" s="432"/>
      <c r="H924" s="432"/>
      <c r="I924" s="36"/>
      <c r="J924" s="36"/>
      <c r="K924" s="36"/>
      <c r="L924" s="450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75" customHeight="1">
      <c r="A925" s="36"/>
      <c r="B925" s="432"/>
      <c r="C925" s="432"/>
      <c r="D925" s="446"/>
      <c r="E925" s="36"/>
      <c r="F925" s="36"/>
      <c r="G925" s="432"/>
      <c r="H925" s="432"/>
      <c r="I925" s="36"/>
      <c r="J925" s="36"/>
      <c r="K925" s="36"/>
      <c r="L925" s="450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75" customHeight="1">
      <c r="A926" s="36"/>
      <c r="B926" s="432"/>
      <c r="C926" s="432"/>
      <c r="D926" s="446"/>
      <c r="E926" s="36"/>
      <c r="F926" s="36"/>
      <c r="G926" s="432"/>
      <c r="H926" s="432"/>
      <c r="I926" s="36"/>
      <c r="J926" s="36"/>
      <c r="K926" s="36"/>
      <c r="L926" s="450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75" customHeight="1">
      <c r="A927" s="36"/>
      <c r="B927" s="432"/>
      <c r="C927" s="432"/>
      <c r="D927" s="446"/>
      <c r="E927" s="36"/>
      <c r="F927" s="36"/>
      <c r="G927" s="432"/>
      <c r="H927" s="432"/>
      <c r="I927" s="36"/>
      <c r="J927" s="36"/>
      <c r="K927" s="36"/>
      <c r="L927" s="450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75" customHeight="1">
      <c r="A928" s="36"/>
      <c r="B928" s="432"/>
      <c r="C928" s="432"/>
      <c r="D928" s="446"/>
      <c r="E928" s="36"/>
      <c r="F928" s="36"/>
      <c r="G928" s="432"/>
      <c r="H928" s="432"/>
      <c r="I928" s="36"/>
      <c r="J928" s="36"/>
      <c r="K928" s="36"/>
      <c r="L928" s="450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75" customHeight="1">
      <c r="A929" s="36"/>
      <c r="B929" s="432"/>
      <c r="C929" s="432"/>
      <c r="D929" s="446"/>
      <c r="E929" s="36"/>
      <c r="F929" s="36"/>
      <c r="G929" s="432"/>
      <c r="H929" s="432"/>
      <c r="I929" s="36"/>
      <c r="J929" s="36"/>
      <c r="K929" s="36"/>
      <c r="L929" s="450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75" customHeight="1">
      <c r="A930" s="36"/>
      <c r="B930" s="432"/>
      <c r="C930" s="432"/>
      <c r="D930" s="446"/>
      <c r="E930" s="36"/>
      <c r="F930" s="36"/>
      <c r="G930" s="432"/>
      <c r="H930" s="432"/>
      <c r="I930" s="36"/>
      <c r="J930" s="36"/>
      <c r="K930" s="36"/>
      <c r="L930" s="450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75" customHeight="1">
      <c r="A931" s="36"/>
      <c r="B931" s="432"/>
      <c r="C931" s="432"/>
      <c r="D931" s="446"/>
      <c r="E931" s="36"/>
      <c r="F931" s="36"/>
      <c r="G931" s="432"/>
      <c r="H931" s="432"/>
      <c r="I931" s="36"/>
      <c r="J931" s="36"/>
      <c r="K931" s="36"/>
      <c r="L931" s="450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75" customHeight="1">
      <c r="A932" s="36"/>
      <c r="B932" s="432"/>
      <c r="C932" s="432"/>
      <c r="D932" s="446"/>
      <c r="E932" s="36"/>
      <c r="F932" s="36"/>
      <c r="G932" s="432"/>
      <c r="H932" s="432"/>
      <c r="I932" s="36"/>
      <c r="J932" s="36"/>
      <c r="K932" s="36"/>
      <c r="L932" s="450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75" customHeight="1">
      <c r="A933" s="36"/>
      <c r="B933" s="432"/>
      <c r="C933" s="432"/>
      <c r="D933" s="446"/>
      <c r="E933" s="36"/>
      <c r="F933" s="36"/>
      <c r="G933" s="432"/>
      <c r="H933" s="432"/>
      <c r="I933" s="36"/>
      <c r="J933" s="36"/>
      <c r="K933" s="36"/>
      <c r="L933" s="450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75" customHeight="1">
      <c r="A934" s="36"/>
      <c r="B934" s="432"/>
      <c r="C934" s="432"/>
      <c r="D934" s="446"/>
      <c r="E934" s="36"/>
      <c r="F934" s="36"/>
      <c r="G934" s="432"/>
      <c r="H934" s="432"/>
      <c r="I934" s="36"/>
      <c r="J934" s="36"/>
      <c r="K934" s="36"/>
      <c r="L934" s="450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75" customHeight="1">
      <c r="A935" s="36"/>
      <c r="B935" s="432"/>
      <c r="C935" s="432"/>
      <c r="D935" s="446"/>
      <c r="E935" s="36"/>
      <c r="F935" s="36"/>
      <c r="G935" s="432"/>
      <c r="H935" s="432"/>
      <c r="I935" s="36"/>
      <c r="J935" s="36"/>
      <c r="K935" s="36"/>
      <c r="L935" s="450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75" customHeight="1">
      <c r="A936" s="36"/>
      <c r="B936" s="432"/>
      <c r="C936" s="432"/>
      <c r="D936" s="446"/>
      <c r="E936" s="36"/>
      <c r="F936" s="36"/>
      <c r="G936" s="432"/>
      <c r="H936" s="432"/>
      <c r="I936" s="36"/>
      <c r="J936" s="36"/>
      <c r="K936" s="36"/>
      <c r="L936" s="450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75" customHeight="1">
      <c r="A937" s="36"/>
      <c r="B937" s="432"/>
      <c r="C937" s="432"/>
      <c r="D937" s="446"/>
      <c r="E937" s="36"/>
      <c r="F937" s="36"/>
      <c r="G937" s="432"/>
      <c r="H937" s="432"/>
      <c r="I937" s="36"/>
      <c r="J937" s="36"/>
      <c r="K937" s="36"/>
      <c r="L937" s="450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75" customHeight="1">
      <c r="A938" s="36"/>
      <c r="B938" s="432"/>
      <c r="C938" s="432"/>
      <c r="D938" s="446"/>
      <c r="E938" s="36"/>
      <c r="F938" s="36"/>
      <c r="G938" s="432"/>
      <c r="H938" s="432"/>
      <c r="I938" s="36"/>
      <c r="J938" s="36"/>
      <c r="K938" s="36"/>
      <c r="L938" s="450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75" customHeight="1">
      <c r="A939" s="36"/>
      <c r="B939" s="432"/>
      <c r="C939" s="432"/>
      <c r="D939" s="446"/>
      <c r="E939" s="36"/>
      <c r="F939" s="36"/>
      <c r="G939" s="432"/>
      <c r="H939" s="432"/>
      <c r="I939" s="36"/>
      <c r="J939" s="36"/>
      <c r="K939" s="36"/>
      <c r="L939" s="450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75" customHeight="1">
      <c r="A940" s="36"/>
      <c r="B940" s="432"/>
      <c r="C940" s="432"/>
      <c r="D940" s="446"/>
      <c r="E940" s="36"/>
      <c r="F940" s="36"/>
      <c r="G940" s="432"/>
      <c r="H940" s="432"/>
      <c r="I940" s="36"/>
      <c r="J940" s="36"/>
      <c r="K940" s="36"/>
      <c r="L940" s="450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75" customHeight="1">
      <c r="A941" s="36"/>
      <c r="B941" s="432"/>
      <c r="C941" s="432"/>
      <c r="D941" s="446"/>
      <c r="E941" s="36"/>
      <c r="F941" s="36"/>
      <c r="G941" s="432"/>
      <c r="H941" s="432"/>
      <c r="I941" s="36"/>
      <c r="J941" s="36"/>
      <c r="K941" s="36"/>
      <c r="L941" s="450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75" customHeight="1">
      <c r="A942" s="36"/>
      <c r="B942" s="432"/>
      <c r="C942" s="432"/>
      <c r="D942" s="446"/>
      <c r="E942" s="36"/>
      <c r="F942" s="36"/>
      <c r="G942" s="432"/>
      <c r="H942" s="432"/>
      <c r="I942" s="36"/>
      <c r="J942" s="36"/>
      <c r="K942" s="36"/>
      <c r="L942" s="450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75" customHeight="1">
      <c r="A943" s="36"/>
      <c r="B943" s="432"/>
      <c r="C943" s="432"/>
      <c r="D943" s="446"/>
      <c r="E943" s="36"/>
      <c r="F943" s="36"/>
      <c r="G943" s="432"/>
      <c r="H943" s="432"/>
      <c r="I943" s="36"/>
      <c r="J943" s="36"/>
      <c r="K943" s="36"/>
      <c r="L943" s="450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75" customHeight="1">
      <c r="A944" s="36"/>
      <c r="B944" s="432"/>
      <c r="C944" s="432"/>
      <c r="D944" s="446"/>
      <c r="E944" s="36"/>
      <c r="F944" s="36"/>
      <c r="G944" s="432"/>
      <c r="H944" s="432"/>
      <c r="I944" s="36"/>
      <c r="J944" s="36"/>
      <c r="K944" s="36"/>
      <c r="L944" s="450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75" customHeight="1">
      <c r="A945" s="36"/>
      <c r="B945" s="432"/>
      <c r="C945" s="432"/>
      <c r="D945" s="446"/>
      <c r="E945" s="36"/>
      <c r="F945" s="36"/>
      <c r="G945" s="432"/>
      <c r="H945" s="432"/>
      <c r="I945" s="36"/>
      <c r="J945" s="36"/>
      <c r="K945" s="36"/>
      <c r="L945" s="450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75" customHeight="1">
      <c r="A946" s="36"/>
      <c r="B946" s="432"/>
      <c r="C946" s="432"/>
      <c r="D946" s="446"/>
      <c r="E946" s="36"/>
      <c r="F946" s="36"/>
      <c r="G946" s="432"/>
      <c r="H946" s="432"/>
      <c r="I946" s="36"/>
      <c r="J946" s="36"/>
      <c r="K946" s="36"/>
      <c r="L946" s="450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75" customHeight="1">
      <c r="A947" s="36"/>
      <c r="B947" s="432"/>
      <c r="C947" s="432"/>
      <c r="D947" s="446"/>
      <c r="E947" s="36"/>
      <c r="F947" s="36"/>
      <c r="G947" s="432"/>
      <c r="H947" s="432"/>
      <c r="I947" s="36"/>
      <c r="J947" s="36"/>
      <c r="K947" s="36"/>
      <c r="L947" s="450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75" customHeight="1">
      <c r="A948" s="36"/>
      <c r="B948" s="432"/>
      <c r="C948" s="432"/>
      <c r="D948" s="446"/>
      <c r="E948" s="36"/>
      <c r="F948" s="36"/>
      <c r="G948" s="432"/>
      <c r="H948" s="432"/>
      <c r="I948" s="36"/>
      <c r="J948" s="36"/>
      <c r="K948" s="36"/>
      <c r="L948" s="450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75" customHeight="1">
      <c r="A949" s="36"/>
      <c r="B949" s="432"/>
      <c r="C949" s="432"/>
      <c r="D949" s="446"/>
      <c r="E949" s="36"/>
      <c r="F949" s="36"/>
      <c r="G949" s="432"/>
      <c r="H949" s="432"/>
      <c r="I949" s="36"/>
      <c r="J949" s="36"/>
      <c r="K949" s="36"/>
      <c r="L949" s="450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75" customHeight="1">
      <c r="A950" s="36"/>
      <c r="B950" s="432"/>
      <c r="C950" s="432"/>
      <c r="D950" s="446"/>
      <c r="E950" s="36"/>
      <c r="F950" s="36"/>
      <c r="G950" s="432"/>
      <c r="H950" s="432"/>
      <c r="I950" s="36"/>
      <c r="J950" s="36"/>
      <c r="K950" s="36"/>
      <c r="L950" s="450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75" customHeight="1">
      <c r="A951" s="36"/>
      <c r="B951" s="432"/>
      <c r="C951" s="432"/>
      <c r="D951" s="446"/>
      <c r="E951" s="36"/>
      <c r="F951" s="36"/>
      <c r="G951" s="432"/>
      <c r="H951" s="432"/>
      <c r="I951" s="36"/>
      <c r="J951" s="36"/>
      <c r="K951" s="36"/>
      <c r="L951" s="450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75" customHeight="1">
      <c r="A952" s="36"/>
      <c r="B952" s="432"/>
      <c r="C952" s="432"/>
      <c r="D952" s="446"/>
      <c r="E952" s="36"/>
      <c r="F952" s="36"/>
      <c r="G952" s="432"/>
      <c r="H952" s="432"/>
      <c r="I952" s="36"/>
      <c r="J952" s="36"/>
      <c r="K952" s="36"/>
      <c r="L952" s="450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75" customHeight="1">
      <c r="A953" s="36"/>
      <c r="B953" s="432"/>
      <c r="C953" s="432"/>
      <c r="D953" s="446"/>
      <c r="E953" s="36"/>
      <c r="F953" s="36"/>
      <c r="G953" s="432"/>
      <c r="H953" s="432"/>
      <c r="I953" s="36"/>
      <c r="J953" s="36"/>
      <c r="K953" s="36"/>
      <c r="L953" s="450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75" customHeight="1">
      <c r="A954" s="36"/>
      <c r="B954" s="432"/>
      <c r="C954" s="432"/>
      <c r="D954" s="446"/>
      <c r="E954" s="36"/>
      <c r="F954" s="36"/>
      <c r="G954" s="432"/>
      <c r="H954" s="432"/>
      <c r="I954" s="36"/>
      <c r="J954" s="36"/>
      <c r="K954" s="36"/>
      <c r="L954" s="450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75" customHeight="1">
      <c r="A955" s="36"/>
      <c r="B955" s="432"/>
      <c r="C955" s="432"/>
      <c r="D955" s="446"/>
      <c r="E955" s="36"/>
      <c r="F955" s="36"/>
      <c r="G955" s="432"/>
      <c r="H955" s="432"/>
      <c r="I955" s="36"/>
      <c r="J955" s="36"/>
      <c r="K955" s="36"/>
      <c r="L955" s="450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75" customHeight="1">
      <c r="A956" s="36"/>
      <c r="B956" s="432"/>
      <c r="C956" s="432"/>
      <c r="D956" s="446"/>
      <c r="E956" s="36"/>
      <c r="F956" s="36"/>
      <c r="G956" s="432"/>
      <c r="H956" s="432"/>
      <c r="I956" s="36"/>
      <c r="J956" s="36"/>
      <c r="K956" s="36"/>
      <c r="L956" s="450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75" customHeight="1">
      <c r="A957" s="36"/>
      <c r="B957" s="432"/>
      <c r="C957" s="432"/>
      <c r="D957" s="446"/>
      <c r="E957" s="36"/>
      <c r="F957" s="36"/>
      <c r="G957" s="432"/>
      <c r="H957" s="432"/>
      <c r="I957" s="36"/>
      <c r="J957" s="36"/>
      <c r="K957" s="36"/>
      <c r="L957" s="450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75" customHeight="1">
      <c r="A958" s="36"/>
      <c r="B958" s="432"/>
      <c r="C958" s="432"/>
      <c r="D958" s="446"/>
      <c r="E958" s="36"/>
      <c r="F958" s="36"/>
      <c r="G958" s="432"/>
      <c r="H958" s="432"/>
      <c r="I958" s="36"/>
      <c r="J958" s="36"/>
      <c r="K958" s="36"/>
      <c r="L958" s="450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75" customHeight="1">
      <c r="A959" s="36"/>
      <c r="B959" s="432"/>
      <c r="C959" s="432"/>
      <c r="D959" s="446"/>
      <c r="E959" s="36"/>
      <c r="F959" s="36"/>
      <c r="G959" s="432"/>
      <c r="H959" s="432"/>
      <c r="I959" s="36"/>
      <c r="J959" s="36"/>
      <c r="K959" s="36"/>
      <c r="L959" s="450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75" customHeight="1">
      <c r="A960" s="36"/>
      <c r="B960" s="432"/>
      <c r="C960" s="432"/>
      <c r="D960" s="446"/>
      <c r="E960" s="36"/>
      <c r="F960" s="36"/>
      <c r="G960" s="432"/>
      <c r="H960" s="432"/>
      <c r="I960" s="36"/>
      <c r="J960" s="36"/>
      <c r="K960" s="36"/>
      <c r="L960" s="450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75" customHeight="1">
      <c r="A961" s="36"/>
      <c r="B961" s="432"/>
      <c r="C961" s="432"/>
      <c r="D961" s="446"/>
      <c r="E961" s="36"/>
      <c r="F961" s="36"/>
      <c r="G961" s="432"/>
      <c r="H961" s="432"/>
      <c r="I961" s="36"/>
      <c r="J961" s="36"/>
      <c r="K961" s="36"/>
      <c r="L961" s="450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75" customHeight="1">
      <c r="A962" s="36"/>
      <c r="B962" s="432"/>
      <c r="C962" s="432"/>
      <c r="D962" s="446"/>
      <c r="E962" s="36"/>
      <c r="F962" s="36"/>
      <c r="G962" s="432"/>
      <c r="H962" s="432"/>
      <c r="I962" s="36"/>
      <c r="J962" s="36"/>
      <c r="K962" s="36"/>
      <c r="L962" s="450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75" customHeight="1">
      <c r="A963" s="36"/>
      <c r="B963" s="432"/>
      <c r="C963" s="432"/>
      <c r="D963" s="446"/>
      <c r="E963" s="36"/>
      <c r="F963" s="36"/>
      <c r="G963" s="432"/>
      <c r="H963" s="432"/>
      <c r="I963" s="36"/>
      <c r="J963" s="36"/>
      <c r="K963" s="36"/>
      <c r="L963" s="450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75" customHeight="1">
      <c r="A964" s="36"/>
      <c r="B964" s="432"/>
      <c r="C964" s="432"/>
      <c r="D964" s="446"/>
      <c r="E964" s="36"/>
      <c r="F964" s="36"/>
      <c r="G964" s="432"/>
      <c r="H964" s="432"/>
      <c r="I964" s="36"/>
      <c r="J964" s="36"/>
      <c r="K964" s="36"/>
      <c r="L964" s="450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75" customHeight="1">
      <c r="A965" s="36"/>
      <c r="B965" s="432"/>
      <c r="C965" s="432"/>
      <c r="D965" s="446"/>
      <c r="E965" s="36"/>
      <c r="F965" s="36"/>
      <c r="G965" s="432"/>
      <c r="H965" s="432"/>
      <c r="I965" s="36"/>
      <c r="J965" s="36"/>
      <c r="K965" s="36"/>
      <c r="L965" s="450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75" customHeight="1">
      <c r="A966" s="36"/>
      <c r="B966" s="432"/>
      <c r="C966" s="432"/>
      <c r="D966" s="446"/>
      <c r="E966" s="36"/>
      <c r="F966" s="36"/>
      <c r="G966" s="432"/>
      <c r="H966" s="432"/>
      <c r="I966" s="36"/>
      <c r="J966" s="36"/>
      <c r="K966" s="36"/>
      <c r="L966" s="450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75" customHeight="1">
      <c r="A967" s="36"/>
      <c r="B967" s="432"/>
      <c r="C967" s="432"/>
      <c r="D967" s="446"/>
      <c r="E967" s="36"/>
      <c r="F967" s="36"/>
      <c r="G967" s="432"/>
      <c r="H967" s="432"/>
      <c r="I967" s="36"/>
      <c r="J967" s="36"/>
      <c r="K967" s="36"/>
      <c r="L967" s="450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75" customHeight="1">
      <c r="A968" s="36"/>
      <c r="B968" s="432"/>
      <c r="C968" s="432"/>
      <c r="D968" s="446"/>
      <c r="E968" s="36"/>
      <c r="F968" s="36"/>
      <c r="G968" s="432"/>
      <c r="H968" s="432"/>
      <c r="I968" s="36"/>
      <c r="J968" s="36"/>
      <c r="K968" s="36"/>
      <c r="L968" s="450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75" customHeight="1">
      <c r="A969" s="36"/>
      <c r="B969" s="432"/>
      <c r="C969" s="432"/>
      <c r="D969" s="446"/>
      <c r="E969" s="36"/>
      <c r="F969" s="36"/>
      <c r="G969" s="432"/>
      <c r="H969" s="432"/>
      <c r="I969" s="36"/>
      <c r="J969" s="36"/>
      <c r="K969" s="36"/>
      <c r="L969" s="450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75" customHeight="1">
      <c r="A970" s="36"/>
      <c r="B970" s="432"/>
      <c r="C970" s="432"/>
      <c r="D970" s="446"/>
      <c r="E970" s="36"/>
      <c r="F970" s="36"/>
      <c r="G970" s="432"/>
      <c r="H970" s="432"/>
      <c r="I970" s="36"/>
      <c r="J970" s="36"/>
      <c r="K970" s="36"/>
      <c r="L970" s="450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75" customHeight="1">
      <c r="A971" s="36"/>
      <c r="B971" s="432"/>
      <c r="C971" s="432"/>
      <c r="D971" s="446"/>
      <c r="E971" s="36"/>
      <c r="F971" s="36"/>
      <c r="G971" s="432"/>
      <c r="H971" s="432"/>
      <c r="I971" s="36"/>
      <c r="J971" s="36"/>
      <c r="K971" s="36"/>
      <c r="L971" s="450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75" customHeight="1">
      <c r="A972" s="36"/>
      <c r="B972" s="432"/>
      <c r="C972" s="432"/>
      <c r="D972" s="446"/>
      <c r="E972" s="36"/>
      <c r="F972" s="36"/>
      <c r="G972" s="432"/>
      <c r="H972" s="432"/>
      <c r="I972" s="36"/>
      <c r="J972" s="36"/>
      <c r="K972" s="36"/>
      <c r="L972" s="450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75" customHeight="1">
      <c r="A973" s="36"/>
      <c r="B973" s="432"/>
      <c r="C973" s="432"/>
      <c r="D973" s="446"/>
      <c r="E973" s="36"/>
      <c r="F973" s="36"/>
      <c r="G973" s="432"/>
      <c r="H973" s="432"/>
      <c r="I973" s="36"/>
      <c r="J973" s="36"/>
      <c r="K973" s="36"/>
      <c r="L973" s="450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75" customHeight="1">
      <c r="A974" s="36"/>
      <c r="B974" s="432"/>
      <c r="C974" s="432"/>
      <c r="D974" s="446"/>
      <c r="E974" s="36"/>
      <c r="F974" s="36"/>
      <c r="G974" s="432"/>
      <c r="H974" s="432"/>
      <c r="I974" s="36"/>
      <c r="J974" s="36"/>
      <c r="K974" s="36"/>
      <c r="L974" s="450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75" customHeight="1">
      <c r="A975" s="36"/>
      <c r="B975" s="432"/>
      <c r="C975" s="432"/>
      <c r="D975" s="446"/>
      <c r="E975" s="36"/>
      <c r="F975" s="36"/>
      <c r="G975" s="432"/>
      <c r="H975" s="432"/>
      <c r="I975" s="36"/>
      <c r="J975" s="36"/>
      <c r="K975" s="36"/>
      <c r="L975" s="450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75" customHeight="1">
      <c r="A976" s="36"/>
      <c r="B976" s="432"/>
      <c r="C976" s="432"/>
      <c r="D976" s="446"/>
      <c r="E976" s="36"/>
      <c r="F976" s="36"/>
      <c r="G976" s="432"/>
      <c r="H976" s="432"/>
      <c r="I976" s="36"/>
      <c r="J976" s="36"/>
      <c r="K976" s="36"/>
      <c r="L976" s="450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75" customHeight="1">
      <c r="A977" s="36"/>
      <c r="B977" s="432"/>
      <c r="C977" s="432"/>
      <c r="D977" s="446"/>
      <c r="E977" s="36"/>
      <c r="F977" s="36"/>
      <c r="G977" s="432"/>
      <c r="H977" s="432"/>
      <c r="I977" s="36"/>
      <c r="J977" s="36"/>
      <c r="K977" s="36"/>
      <c r="L977" s="450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75" customHeight="1">
      <c r="A978" s="36"/>
      <c r="B978" s="432"/>
      <c r="C978" s="432"/>
      <c r="D978" s="446"/>
      <c r="E978" s="36"/>
      <c r="F978" s="36"/>
      <c r="G978" s="432"/>
      <c r="H978" s="432"/>
      <c r="I978" s="36"/>
      <c r="J978" s="36"/>
      <c r="K978" s="36"/>
      <c r="L978" s="450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75" customHeight="1">
      <c r="A979" s="36"/>
      <c r="B979" s="432"/>
      <c r="C979" s="432"/>
      <c r="D979" s="446"/>
      <c r="E979" s="36"/>
      <c r="F979" s="36"/>
      <c r="G979" s="432"/>
      <c r="H979" s="432"/>
      <c r="I979" s="36"/>
      <c r="J979" s="36"/>
      <c r="K979" s="36"/>
      <c r="L979" s="450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75" customHeight="1">
      <c r="A980" s="36"/>
      <c r="B980" s="432"/>
      <c r="C980" s="432"/>
      <c r="D980" s="446"/>
      <c r="E980" s="36"/>
      <c r="F980" s="36"/>
      <c r="G980" s="432"/>
      <c r="H980" s="432"/>
      <c r="I980" s="36"/>
      <c r="J980" s="36"/>
      <c r="K980" s="36"/>
      <c r="L980" s="450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75" customHeight="1">
      <c r="A981" s="36"/>
      <c r="B981" s="432"/>
      <c r="C981" s="432"/>
      <c r="D981" s="446"/>
      <c r="E981" s="36"/>
      <c r="F981" s="36"/>
      <c r="G981" s="432"/>
      <c r="H981" s="432"/>
      <c r="I981" s="36"/>
      <c r="J981" s="36"/>
      <c r="K981" s="36"/>
      <c r="L981" s="450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75" customHeight="1">
      <c r="A982" s="36"/>
      <c r="B982" s="432"/>
      <c r="C982" s="432"/>
      <c r="D982" s="446"/>
      <c r="E982" s="36"/>
      <c r="F982" s="36"/>
      <c r="G982" s="432"/>
      <c r="H982" s="432"/>
      <c r="I982" s="36"/>
      <c r="J982" s="36"/>
      <c r="K982" s="36"/>
      <c r="L982" s="450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75" customHeight="1">
      <c r="A983" s="36"/>
      <c r="B983" s="432"/>
      <c r="C983" s="432"/>
      <c r="D983" s="446"/>
      <c r="E983" s="36"/>
      <c r="F983" s="36"/>
      <c r="G983" s="432"/>
      <c r="H983" s="432"/>
      <c r="I983" s="36"/>
      <c r="J983" s="36"/>
      <c r="K983" s="36"/>
      <c r="L983" s="450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75" customHeight="1">
      <c r="A984" s="36"/>
      <c r="B984" s="432"/>
      <c r="C984" s="432"/>
      <c r="D984" s="446"/>
      <c r="E984" s="36"/>
      <c r="F984" s="36"/>
      <c r="G984" s="432"/>
      <c r="H984" s="432"/>
      <c r="I984" s="36"/>
      <c r="J984" s="36"/>
      <c r="K984" s="36"/>
      <c r="L984" s="450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75" customHeight="1">
      <c r="A985" s="36"/>
      <c r="B985" s="432"/>
      <c r="C985" s="432"/>
      <c r="D985" s="446"/>
      <c r="E985" s="36"/>
      <c r="F985" s="36"/>
      <c r="G985" s="432"/>
      <c r="H985" s="432"/>
      <c r="I985" s="36"/>
      <c r="J985" s="36"/>
      <c r="K985" s="36"/>
      <c r="L985" s="450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75" customHeight="1">
      <c r="A986" s="36"/>
      <c r="B986" s="432"/>
      <c r="C986" s="432"/>
      <c r="D986" s="446"/>
      <c r="E986" s="36"/>
      <c r="F986" s="36"/>
      <c r="G986" s="432"/>
      <c r="H986" s="432"/>
      <c r="I986" s="36"/>
      <c r="J986" s="36"/>
      <c r="K986" s="36"/>
      <c r="L986" s="450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75" customHeight="1">
      <c r="A987" s="36"/>
      <c r="B987" s="432"/>
      <c r="C987" s="432"/>
      <c r="D987" s="446"/>
      <c r="E987" s="36"/>
      <c r="F987" s="36"/>
      <c r="G987" s="432"/>
      <c r="H987" s="432"/>
      <c r="I987" s="36"/>
      <c r="J987" s="36"/>
      <c r="K987" s="36"/>
      <c r="L987" s="450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75" customHeight="1">
      <c r="A988" s="36"/>
      <c r="B988" s="432"/>
      <c r="C988" s="432"/>
      <c r="D988" s="446"/>
      <c r="E988" s="36"/>
      <c r="F988" s="36"/>
      <c r="G988" s="432"/>
      <c r="H988" s="432"/>
      <c r="I988" s="36"/>
      <c r="J988" s="36"/>
      <c r="K988" s="36"/>
      <c r="L988" s="450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75" customHeight="1">
      <c r="A989" s="36"/>
      <c r="B989" s="432"/>
      <c r="C989" s="432"/>
      <c r="D989" s="446"/>
      <c r="E989" s="36"/>
      <c r="F989" s="36"/>
      <c r="G989" s="432"/>
      <c r="H989" s="432"/>
      <c r="I989" s="36"/>
      <c r="J989" s="36"/>
      <c r="K989" s="36"/>
      <c r="L989" s="450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75" customHeight="1">
      <c r="A990" s="36"/>
      <c r="B990" s="432"/>
      <c r="C990" s="432"/>
      <c r="D990" s="446"/>
      <c r="E990" s="36"/>
      <c r="F990" s="36"/>
      <c r="G990" s="432"/>
      <c r="H990" s="432"/>
      <c r="I990" s="36"/>
      <c r="J990" s="36"/>
      <c r="K990" s="36"/>
      <c r="L990" s="450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75" customHeight="1">
      <c r="A991" s="36"/>
      <c r="B991" s="432"/>
      <c r="C991" s="432"/>
      <c r="D991" s="446"/>
      <c r="E991" s="36"/>
      <c r="F991" s="36"/>
      <c r="G991" s="432"/>
      <c r="H991" s="432"/>
      <c r="I991" s="36"/>
      <c r="J991" s="36"/>
      <c r="K991" s="36"/>
      <c r="L991" s="450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75" customHeight="1">
      <c r="A992" s="36"/>
      <c r="B992" s="432"/>
      <c r="C992" s="432"/>
      <c r="D992" s="446"/>
      <c r="E992" s="36"/>
      <c r="F992" s="36"/>
      <c r="G992" s="432"/>
      <c r="H992" s="432"/>
      <c r="I992" s="36"/>
      <c r="J992" s="36"/>
      <c r="K992" s="36"/>
      <c r="L992" s="450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75" customHeight="1">
      <c r="A993" s="36"/>
      <c r="B993" s="432"/>
      <c r="C993" s="432"/>
      <c r="D993" s="446"/>
      <c r="E993" s="36"/>
      <c r="F993" s="36"/>
      <c r="G993" s="432"/>
      <c r="H993" s="432"/>
      <c r="I993" s="36"/>
      <c r="J993" s="36"/>
      <c r="K993" s="36"/>
      <c r="L993" s="450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75" customHeight="1">
      <c r="A994" s="36"/>
      <c r="B994" s="432"/>
      <c r="C994" s="432"/>
      <c r="D994" s="446"/>
      <c r="E994" s="36"/>
      <c r="F994" s="36"/>
      <c r="G994" s="432"/>
      <c r="H994" s="432"/>
      <c r="I994" s="36"/>
      <c r="J994" s="36"/>
      <c r="K994" s="36"/>
      <c r="L994" s="450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75" customHeight="1">
      <c r="A995" s="36"/>
      <c r="B995" s="432"/>
      <c r="C995" s="432"/>
      <c r="D995" s="446"/>
      <c r="E995" s="36"/>
      <c r="F995" s="36"/>
      <c r="G995" s="432"/>
      <c r="H995" s="432"/>
      <c r="I995" s="36"/>
      <c r="J995" s="36"/>
      <c r="K995" s="36"/>
      <c r="L995" s="450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75" customHeight="1">
      <c r="A996" s="36"/>
      <c r="B996" s="432"/>
      <c r="C996" s="432"/>
      <c r="D996" s="446"/>
      <c r="E996" s="36"/>
      <c r="F996" s="36"/>
      <c r="G996" s="432"/>
      <c r="H996" s="432"/>
      <c r="I996" s="36"/>
      <c r="J996" s="36"/>
      <c r="K996" s="36"/>
      <c r="L996" s="450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75" customHeight="1">
      <c r="A997" s="36"/>
      <c r="B997" s="432"/>
      <c r="C997" s="432"/>
      <c r="D997" s="446"/>
      <c r="E997" s="36"/>
      <c r="F997" s="36"/>
      <c r="G997" s="432"/>
      <c r="H997" s="432"/>
      <c r="I997" s="36"/>
      <c r="J997" s="36"/>
      <c r="K997" s="36"/>
      <c r="L997" s="450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75" customHeight="1">
      <c r="A998" s="36"/>
      <c r="B998" s="432"/>
      <c r="C998" s="432"/>
      <c r="D998" s="446"/>
      <c r="E998" s="36"/>
      <c r="F998" s="36"/>
      <c r="G998" s="432"/>
      <c r="H998" s="432"/>
      <c r="I998" s="36"/>
      <c r="J998" s="36"/>
      <c r="K998" s="36"/>
      <c r="L998" s="450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75" customHeight="1">
      <c r="A999" s="36"/>
      <c r="B999" s="432"/>
      <c r="C999" s="432"/>
      <c r="D999" s="446"/>
      <c r="E999" s="36"/>
      <c r="F999" s="36"/>
      <c r="G999" s="432"/>
      <c r="H999" s="432"/>
      <c r="I999" s="36"/>
      <c r="J999" s="36"/>
      <c r="K999" s="36"/>
      <c r="L999" s="450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75" customHeight="1">
      <c r="A1000" s="36"/>
      <c r="B1000" s="432"/>
      <c r="C1000" s="432"/>
      <c r="D1000" s="446"/>
      <c r="E1000" s="36"/>
      <c r="F1000" s="36"/>
      <c r="G1000" s="432"/>
      <c r="H1000" s="432"/>
      <c r="I1000" s="36"/>
      <c r="J1000" s="36"/>
      <c r="K1000" s="36"/>
      <c r="L1000" s="450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1:$P$13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1997-12-23T15:14:03Z</dcterms:created>
  <dc:creator>YURANY ROJAS PARDO</dc:creator>
</cp:coreProperties>
</file>