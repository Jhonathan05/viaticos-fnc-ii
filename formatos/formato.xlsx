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FNC\LFORERO751\Downloads\"/>
    </mc:Choice>
  </mc:AlternateContent>
  <xr:revisionPtr revIDLastSave="0" documentId="8_{3BF640E1-2F41-4F3F-BBAE-D14713E4420E}" xr6:coauthVersionLast="47" xr6:coauthVersionMax="47" xr10:uidLastSave="{00000000-0000-0000-0000-000000000000}"/>
  <bookViews>
    <workbookView xWindow="-120" yWindow="-120" windowWidth="21840" windowHeight="13020" tabRatio="583" xr2:uid="{00000000-000D-0000-FFFF-FFFF00000000}"/>
  </bookViews>
  <sheets>
    <sheet name="COMISIONES" sheetId="5" r:id="rId1"/>
    <sheet name="LOGOS" sheetId="17" state="hidden" r:id="rId2"/>
    <sheet name="RELACION FACTURAS" sheetId="7" r:id="rId3"/>
    <sheet name="NEW DATA" sheetId="9" state="hidden" r:id="rId4"/>
    <sheet name="FAMILIA DE CARGOS" sheetId="14" state="hidden" r:id="rId5"/>
    <sheet name="DATA" sheetId="8" state="hidden" r:id="rId6"/>
  </sheets>
  <definedNames>
    <definedName name="_xlnm._FilterDatabase" localSheetId="5" hidden="1">DATA!$A$1:$P$135</definedName>
    <definedName name="_xlnm._FilterDatabase" localSheetId="4" hidden="1">'FAMILIA DE CARGOS'!$A$2:$B$55</definedName>
    <definedName name="_xlnm._FilterDatabase" localSheetId="3" hidden="1">'NEW DATA'!$A$1:$AC$1</definedName>
    <definedName name="ADM">DATA!$D$2:$D$14</definedName>
    <definedName name="ALMACENES_GENERALES_DE_DEPÓSITO_DE_CAFÉ_S.A___ALMACAFÉ">LOGOS!#REF!</definedName>
    <definedName name="Anticipos">#REF!</definedName>
    <definedName name="_xlnm.Print_Area" localSheetId="0">COMISIONES!$C$1:$X$70</definedName>
    <definedName name="_xlnm.Print_Area" localSheetId="2">'RELACION FACTURAS'!$B$1:$H$66</definedName>
    <definedName name="BCAFE">DATA!$D$50:$D$97</definedName>
    <definedName name="BUENCAFE_LIOFILIZADO_DE_COLOMBIA">'NEW DATA'!$G$1:$G$10</definedName>
    <definedName name="CALD">DATA!#REF!</definedName>
    <definedName name="CARG">'NEW DATA'!$A$2:$A$275</definedName>
    <definedName name="CARGO">DATA!#REF!</definedName>
    <definedName name="CARGOS">DATA!#REF!</definedName>
    <definedName name="CARGOSS">DATA!#REF!</definedName>
    <definedName name="CENIC">DATA!$D$99:$D$132</definedName>
    <definedName name="CENTRO_NACIONAL_DE_INVESTIGACIONES_DE_CAFE_CENICAFE">'NEW DATA'!$H$1:$H$30</definedName>
    <definedName name="COM">DATA!$D$15:$D$23</definedName>
    <definedName name="COMITE_DEPARTAMENTAL_DE_CAFETEROS_DE_ANTIOQUIA">'NEW DATA'!$I$1:$I$19</definedName>
    <definedName name="COMITE_DEPARTAMENTAL_DE_CAFETEROS_DE_BOYACA">'NEW DATA'!$J$1:$J$6</definedName>
    <definedName name="COMITE_DEPARTAMENTAL_DE_CAFETEROS_DE_CALDAS">'NEW DATA'!$K$1:$K$13</definedName>
    <definedName name="COMITE_DEPARTAMENTAL_DE_CAFETEROS_DE_CAUCA">'NEW DATA'!$L$1:$L$12</definedName>
    <definedName name="COMITE_DEPARTAMENTAL_DE_CAFETEROS_DE_CESAR_Y_GUAJIRA">'NEW DATA'!$M$1:$M$8</definedName>
    <definedName name="COMITE_DEPARTAMENTAL_DE_CAFETEROS_DE_CUNDINAMARCA">'NEW DATA'!$N$1:$N$8</definedName>
    <definedName name="COMITE_DEPARTAMENTAL_DE_CAFETEROS_DE_HUILA">'NEW DATA'!$O$1:$O$11</definedName>
    <definedName name="COMITE_DEPARTAMENTAL_DE_CAFETEROS_DE_MAGDALENA">'NEW DATA'!$P$1:$P$6</definedName>
    <definedName name="COMITE_DEPARTAMENTAL_DE_CAFETEROS_DE_NARIÑO">'NEW DATA'!$Q$1:$Q$9</definedName>
    <definedName name="COMITE_DEPARTAMENTAL_DE_CAFETEROS_DE_NORTE_DE_SANTANDER">'NEW DATA'!$R$1:$R$9</definedName>
    <definedName name="COMITE_DEPARTAMENTAL_DE_CAFETEROS_DE_QUINDIO">'NEW DATA'!$S$1:$S$10</definedName>
    <definedName name="COMITE_DEPARTAMENTAL_DE_CAFETEROS_DE_RISARALDA">'NEW DATA'!$T$1:$T$9</definedName>
    <definedName name="COMITE_DEPARTAMENTAL_DE_CAFETEROS_DE_SANTANDER">'NEW DATA'!$U$1:$U$7</definedName>
    <definedName name="COMITE_DEPARTAMENTAL_DE_CAFETEROS_DE_TOLIMA">'NEW DATA'!$V$1:$V$12</definedName>
    <definedName name="COMITE_DEPARTAMENTAL_DE_CAFETEROS_DE_VALLE">'NEW DATA'!$W$1:$W$12</definedName>
    <definedName name="COMU">DATA!$D$24:$D$29</definedName>
    <definedName name="COOR">DATA!$D$47:$D$49</definedName>
    <definedName name="Depen">COMISIONES!$J$9</definedName>
    <definedName name="Dependencia">'NEW DATA'!#REF!</definedName>
    <definedName name="Dependencias">'NEW DATA'!$AC$1:$AC$23</definedName>
    <definedName name="DIA">DATA!$K$2:$K$13</definedName>
    <definedName name="DIVISION">DATA!#REF!</definedName>
    <definedName name="EMP">DATA!$I$2:$I$4</definedName>
    <definedName name="EST">DATA!#REF!</definedName>
    <definedName name="FEDERACIÓN_NACIONAL_DE_CAFETEROS_DE_COLOMBIA">LOGOS!#REF!</definedName>
    <definedName name="FIN">DATA!$D$30:$D$35</definedName>
    <definedName name="Gastos1">#REF!,#REF!,#REF!,#REF!,#REF!</definedName>
    <definedName name="Gastos10">#REF!,#REF!,#REF!</definedName>
    <definedName name="Gastos11">#REF!,#REF!,#REF!</definedName>
    <definedName name="Gastos12">#REF!,#REF!,#REF!,#REF!,#REF!</definedName>
    <definedName name="Gastos2">#REF!,#REF!,#REF!,#REF!,#REF!</definedName>
    <definedName name="Gastos3">#REF!,#REF!,#REF!,#REF!,#REF!</definedName>
    <definedName name="Gastos4">#REF!,#REF!,#REF!,#REF!,#REF!</definedName>
    <definedName name="Gastos5">#REF!,#REF!,#REF!,#REF!,#REF!</definedName>
    <definedName name="Gastos6">#REF!,#REF!,#REF!</definedName>
    <definedName name="Gastos7">#REF!,#REF!,#REF!,#REF!,#REF!</definedName>
    <definedName name="Gastos8">#REF!,#REF!,#REF!,#REF!,#REF!</definedName>
    <definedName name="Gastos9">#REF!,#REF!,#REF!</definedName>
    <definedName name="GastosT">#REF!,#REF!,#REF!,#REF!,#REF!</definedName>
    <definedName name="GEN">DATA!$D$36:$D$41</definedName>
    <definedName name="GRUPO">DATA!#REF!</definedName>
    <definedName name="I">DATA!$M$2:$M$4</definedName>
    <definedName name="IE">DATA!$O$2:$O$4</definedName>
    <definedName name="II">DATA!$M$5:$M$7</definedName>
    <definedName name="IIE">DATA!$O$5:$O$7</definedName>
    <definedName name="III">DATA!$M$8:$M$10</definedName>
    <definedName name="IIIE">DATA!$O$8:$O$10</definedName>
    <definedName name="INSP">DATA!$D$133:$D$135</definedName>
    <definedName name="INSPECCION_CAFETERA_DE_BUENAVENTURA">'NEW DATA'!$X$1:$X$4</definedName>
    <definedName name="INSPECCION_CAFETERA_DE_CARTAGENA">'NEW DATA'!$Y$1:$Y$5</definedName>
    <definedName name="INSPECCION_CAFETERA_DE_SANTA_MARTA">'NEW DATA'!$Z$1:$Z$4</definedName>
    <definedName name="LOGI">INDIRECT(COMISIONES!$C$2)</definedName>
    <definedName name="LOGO">INDIRECT("Picture 57")</definedName>
    <definedName name="LOGOALMACAFE">LOGOS!$C$2</definedName>
    <definedName name="LOGOFNC">LOGOS!$C$1</definedName>
    <definedName name="LOGOS">INDIRECT("Picture 57")</definedName>
    <definedName name="LOGOSS">INDIRECT(COMISIONES!$C$2)</definedName>
    <definedName name="LUGAR">COMISIONES!#REF!</definedName>
    <definedName name="MEDIO">COMISIONES!$IB$2:$IB$4</definedName>
    <definedName name="MEDIODEPAGO">COMISIONES!$IB$1:$IB$4</definedName>
    <definedName name="MES">DATA!$J$2:$J$13</definedName>
    <definedName name="NIVEL3">'NEW DATA'!$F$1:$F$237</definedName>
    <definedName name="NIVEL4">'NEW DATA'!$E$1:$E$237</definedName>
    <definedName name="Nombre_Apellidos">#REF!</definedName>
    <definedName name="Nombres">#REF!</definedName>
    <definedName name="OFICINA_CENTRAL">'NEW DATA'!#REF!</definedName>
    <definedName name="OFICINAS_COORDINADORAS_Y_OTROS_TERRITORIOS">'NEW DATA'!$AB$1:$AB$6</definedName>
    <definedName name="OPE">DATA!#REF!</definedName>
    <definedName name="Personal">#REF!</definedName>
    <definedName name="PROCESO">DATA!$A$2:$A$12</definedName>
    <definedName name="PRY">DATA!$D$46:$D$46</definedName>
    <definedName name="PUESTOS">DATA!$E$1:$E$46</definedName>
    <definedName name="SEDE_BOGOTA">'NEW DATA'!$AA$1:$AA$48</definedName>
    <definedName name="TEC">DATA!$D$43:$D$45</definedName>
    <definedName name="TERRITORIOS_CAFETEROS_DE_LA_ORINOQUIA_Y_LA_AMAZONIA">'NEW DATA'!$AB$1:$AB$6</definedName>
    <definedName name="TIPO">DATA!$P$1:$P$3</definedName>
    <definedName name="_xlnm.Print_Titles" localSheetId="2">'RELACION FACTURAS'!$1:$9</definedName>
    <definedName name="TotalA">#REF!</definedName>
    <definedName name="TotalG">#REF!</definedName>
    <definedName name="UDS">DATA!#REF!</definedName>
    <definedName name="USD">DATA!$O$1:$O$11</definedName>
    <definedName name="V">DATA!$D$98</definedName>
    <definedName name="x">DATA!$M$11</definedName>
  </definedNames>
  <calcPr calcId="191029"/>
</workbook>
</file>

<file path=xl/calcChain.xml><?xml version="1.0" encoding="utf-8"?>
<calcChain xmlns="http://schemas.openxmlformats.org/spreadsheetml/2006/main">
  <c r="T41" i="5" l="1"/>
  <c r="T40" i="5"/>
  <c r="T39" i="5"/>
  <c r="T38" i="5"/>
  <c r="P30" i="5" l="1"/>
  <c r="S30" i="5" s="1"/>
  <c r="P25" i="5"/>
  <c r="E40" i="7"/>
  <c r="F14" i="7"/>
  <c r="G14" i="7" s="1"/>
  <c r="G13" i="7" l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U50" i="5"/>
  <c r="T46" i="5"/>
  <c r="W46" i="5" s="1"/>
  <c r="J46" i="5"/>
  <c r="L46" i="5" s="1"/>
  <c r="M39" i="5"/>
  <c r="M40" i="5"/>
  <c r="N40" i="5"/>
  <c r="M41" i="5"/>
  <c r="N41" i="5"/>
  <c r="M42" i="5"/>
  <c r="N42" i="5"/>
  <c r="M43" i="5"/>
  <c r="N43" i="5"/>
  <c r="M44" i="5"/>
  <c r="N44" i="5"/>
  <c r="M45" i="5"/>
  <c r="N45" i="5"/>
  <c r="J43" i="5"/>
  <c r="L43" i="5" s="1"/>
  <c r="J44" i="5"/>
  <c r="L44" i="5" s="1"/>
  <c r="J45" i="5"/>
  <c r="L45" i="5" s="1"/>
  <c r="J39" i="5"/>
  <c r="L39" i="5" s="1"/>
  <c r="J40" i="5"/>
  <c r="L40" i="5" s="1"/>
  <c r="J41" i="5"/>
  <c r="L41" i="5" s="1"/>
  <c r="J42" i="5"/>
  <c r="L42" i="5" s="1"/>
  <c r="T42" i="5"/>
  <c r="T44" i="5"/>
  <c r="T45" i="5"/>
  <c r="T43" i="5"/>
  <c r="C2" i="5"/>
  <c r="W14" i="5"/>
  <c r="Y14" i="5" s="1"/>
  <c r="R8" i="5"/>
  <c r="J38" i="5"/>
  <c r="L38" i="5" s="1"/>
  <c r="F39" i="7"/>
  <c r="G39" i="7" s="1"/>
  <c r="T49" i="5"/>
  <c r="W49" i="5" s="1"/>
  <c r="T48" i="5"/>
  <c r="W48" i="5" s="1"/>
  <c r="O50" i="5"/>
  <c r="J49" i="5"/>
  <c r="L49" i="5" s="1"/>
  <c r="J48" i="5"/>
  <c r="L48" i="5" s="1"/>
  <c r="J47" i="5"/>
  <c r="L47" i="5" s="1"/>
  <c r="F38" i="7"/>
  <c r="G38" i="7" s="1"/>
  <c r="F37" i="7"/>
  <c r="G37" i="7" s="1"/>
  <c r="F36" i="7"/>
  <c r="G36" i="7" s="1"/>
  <c r="F35" i="7"/>
  <c r="G35" i="7" s="1"/>
  <c r="F34" i="7"/>
  <c r="G34" i="7" s="1"/>
  <c r="F33" i="7"/>
  <c r="G33" i="7" s="1"/>
  <c r="F32" i="7"/>
  <c r="G32" i="7" s="1"/>
  <c r="F31" i="7"/>
  <c r="G31" i="7" s="1"/>
  <c r="F30" i="7"/>
  <c r="G30" i="7" s="1"/>
  <c r="F21" i="7"/>
  <c r="G21" i="7" s="1"/>
  <c r="F20" i="7"/>
  <c r="G20" i="7" s="1"/>
  <c r="F19" i="7"/>
  <c r="G19" i="7" s="1"/>
  <c r="F18" i="7"/>
  <c r="G18" i="7" s="1"/>
  <c r="F17" i="7"/>
  <c r="G17" i="7" s="1"/>
  <c r="F16" i="7"/>
  <c r="G16" i="7" s="1"/>
  <c r="F15" i="7"/>
  <c r="G15" i="7" s="1"/>
  <c r="N31" i="5"/>
  <c r="E62" i="7"/>
  <c r="C35" i="5"/>
  <c r="D8" i="7"/>
  <c r="K3" i="8"/>
  <c r="T47" i="5"/>
  <c r="W47" i="5" s="1"/>
  <c r="D64" i="7"/>
  <c r="D63" i="7"/>
  <c r="G8" i="7"/>
  <c r="G58" i="7"/>
  <c r="S31" i="5" l="1"/>
  <c r="P31" i="5"/>
  <c r="S50" i="5"/>
  <c r="N39" i="5"/>
  <c r="W40" i="5"/>
  <c r="W42" i="5"/>
  <c r="W43" i="5"/>
  <c r="W39" i="5"/>
  <c r="W41" i="5"/>
  <c r="W44" i="5"/>
  <c r="W45" i="5"/>
  <c r="N38" i="5"/>
  <c r="M38" i="5"/>
  <c r="L50" i="5" s="1"/>
  <c r="J50" i="5"/>
  <c r="F40" i="7"/>
  <c r="G40" i="7"/>
  <c r="W38" i="5" l="1"/>
  <c r="W50" i="5" s="1"/>
  <c r="G60" i="7"/>
  <c r="Y52" i="5"/>
  <c r="L51" i="5" s="1"/>
  <c r="L60" i="5" l="1"/>
  <c r="C60" i="5" s="1"/>
  <c r="G6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Mendoza</author>
  </authors>
  <commentList>
    <comment ref="AF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Todas las ciudades CAPITALES de departamento.</t>
        </r>
      </text>
    </comment>
    <comment ref="AG10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Las demás ciudades y municipios del país.</t>
        </r>
      </text>
    </comment>
    <comment ref="AH1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Ciudades y municipios DEL DEPARTAMENTO SEDE DE TRABAJO</t>
        </r>
      </text>
    </comment>
  </commentList>
</comments>
</file>

<file path=xl/sharedStrings.xml><?xml version="1.0" encoding="utf-8"?>
<sst xmlns="http://schemas.openxmlformats.org/spreadsheetml/2006/main" count="2641" uniqueCount="835">
  <si>
    <t>Del</t>
  </si>
  <si>
    <t>Kilometraje</t>
  </si>
  <si>
    <t>Otros</t>
  </si>
  <si>
    <t>TOTAL ANTICIPOS</t>
  </si>
  <si>
    <t>FEDERACION</t>
  </si>
  <si>
    <t xml:space="preserve">                                                                                                                                                                                                          </t>
  </si>
  <si>
    <t>Al</t>
  </si>
  <si>
    <t>Año</t>
  </si>
  <si>
    <t>Mes</t>
  </si>
  <si>
    <t>Día</t>
  </si>
  <si>
    <t>C:C   No.</t>
  </si>
  <si>
    <t xml:space="preserve">  FECHA</t>
  </si>
  <si>
    <t>T O T A L E S</t>
  </si>
  <si>
    <t>FACTURAS</t>
  </si>
  <si>
    <t>DIVISION DE PERSONAL:</t>
  </si>
  <si>
    <t>FECHA LEGALIZACION</t>
  </si>
  <si>
    <t>(AÑO-MES-DIA)</t>
  </si>
  <si>
    <t>NOMBRES Y APELLIDOS</t>
  </si>
  <si>
    <t>CARGO</t>
  </si>
  <si>
    <t xml:space="preserve">GRUPO </t>
  </si>
  <si>
    <t>FECHAS</t>
  </si>
  <si>
    <t>TOTALES</t>
  </si>
  <si>
    <t>DATOS ANTICIPOS</t>
  </si>
  <si>
    <t xml:space="preserve"> N° DOCUMENTO DE PAGO</t>
  </si>
  <si>
    <t>SALDO A FAVOR DE</t>
  </si>
  <si>
    <t>VALOR DEL SALDO</t>
  </si>
  <si>
    <t>Aereo</t>
  </si>
  <si>
    <t>DATOS DE LA COMISION</t>
  </si>
  <si>
    <t>ENUNCIE CUAL FUE EL OBJETO O MOTIVO DE LA COMISION</t>
  </si>
  <si>
    <t>DATOS DEL ANTICIPO</t>
  </si>
  <si>
    <t>FECHA EN QUE SE GENERA EL ANTICIPO EN SISTEMA</t>
  </si>
  <si>
    <t>NÚMERO DEL DOCUMENTO CON EL CUAL SE PAGA EL ANTICIPO</t>
  </si>
  <si>
    <t>TRANSPORTE</t>
  </si>
  <si>
    <r>
      <t xml:space="preserve">VALORES </t>
    </r>
    <r>
      <rPr>
        <b/>
        <sz val="11"/>
        <rFont val="Tahoma"/>
        <family val="2"/>
      </rPr>
      <t>ADICIONALES</t>
    </r>
    <r>
      <rPr>
        <sz val="11"/>
        <rFont val="Tahoma"/>
        <family val="2"/>
      </rPr>
      <t xml:space="preserve"> CANCELADOS POR: </t>
    </r>
  </si>
  <si>
    <r>
      <t>KILOMETRAJE</t>
    </r>
    <r>
      <rPr>
        <sz val="9"/>
        <rFont val="Tahoma"/>
        <family val="2"/>
      </rPr>
      <t xml:space="preserve"> --&gt; NUMERO DE KILOMETROS RECORRIDOS x TARIFA ESTABLECIDA PARA EL MES DE LA COMISION</t>
    </r>
  </si>
  <si>
    <t>DILIGENCIAR UNICAMENTE LAS CASILLAS SOMBREADAS DEL FORMATO</t>
  </si>
  <si>
    <r>
      <t xml:space="preserve">NOTA:  </t>
    </r>
    <r>
      <rPr>
        <sz val="11"/>
        <rFont val="Tahoma"/>
        <family val="2"/>
      </rPr>
      <t>NO SON VALIDAS PARA LA DEDUCCION LA FACTURAS DE TRANSPORTE, ROPA U OTROS OBJETOS SIN RELACION DE CAUSALIDAD CON LA COMISION</t>
    </r>
  </si>
  <si>
    <t>GERENCIA GENERAL</t>
  </si>
  <si>
    <t>GESTIÓN HUMANA</t>
  </si>
  <si>
    <t>INVESTIGACIONES SECTORIALES Y GREMIALES</t>
  </si>
  <si>
    <t>JURIDICA</t>
  </si>
  <si>
    <t>PROPIEDAD INTELECTUAL</t>
  </si>
  <si>
    <t>SECRETARIA GENERAL</t>
  </si>
  <si>
    <t>SEGURIDAD CORPORATIVA</t>
  </si>
  <si>
    <t>OF. COORDINADORA CAQUETÁ</t>
  </si>
  <si>
    <t>OF.COORDINADORA CASANARE</t>
  </si>
  <si>
    <t>OF.COORDINADORA META</t>
  </si>
  <si>
    <t>CIUDAD O MUNICIPIO VISITADO DURANTE LA COMISION</t>
  </si>
  <si>
    <t>VER INSTRUCTIVO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</si>
  <si>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</si>
  <si>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</si>
  <si>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</si>
  <si>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</si>
  <si>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</si>
  <si>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</si>
  <si>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</si>
  <si>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</si>
  <si>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</si>
  <si>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</si>
  <si>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</si>
  <si>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</si>
  <si>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DIAS MES</t>
  </si>
  <si>
    <t>I</t>
  </si>
  <si>
    <t>II</t>
  </si>
  <si>
    <t>III</t>
  </si>
  <si>
    <t>VOLVER AL FORMATO</t>
  </si>
  <si>
    <t xml:space="preserve">INDIQUE LOS DÍAS DE INICIO Y FIN DE LA COMISION. </t>
  </si>
  <si>
    <t>OBSERVACIONES</t>
  </si>
  <si>
    <t>FEDERACION NACIONAL DE CAFETEROS DE COLOMBIA</t>
  </si>
  <si>
    <t>NIT 860.007.538-2</t>
  </si>
  <si>
    <t xml:space="preserve">FECHA: </t>
  </si>
  <si>
    <t xml:space="preserve">   </t>
  </si>
  <si>
    <t>1. ALOJAMIENTO Y MANUTENCIÓN</t>
  </si>
  <si>
    <t>NIT / C.C.</t>
  </si>
  <si>
    <t>VALOR PAGADO</t>
  </si>
  <si>
    <t>TOTAL GASTOS ALOJAMIENTO Y MANUTENCION</t>
  </si>
  <si>
    <t>2. TRANSPORTE Y OTROS</t>
  </si>
  <si>
    <t>TOTAL GASTOS TRANSPORTE Y OTROS</t>
  </si>
  <si>
    <t>TOTAL GASTOS CON FACTURA</t>
  </si>
  <si>
    <t xml:space="preserve">Nombres y Apellidos:  </t>
  </si>
  <si>
    <t>LAS FACTURAS QUE SE ANEXEN DEBER RELACIONARCE EN EL FORMATO DE GASTOS POR COMISIÓN.  PARA VER EL FORMATO DE CLICK EN LA CASILLA DE "FACTURAS"</t>
  </si>
  <si>
    <t>ALOJAMIENTO - RESTAURANTES -  LLAMADAS TELEFÓNICAS - PROPINAS - LAVANDERÍA - ATENCIONES ESPECIALES</t>
  </si>
  <si>
    <t xml:space="preserve">TRANSPORTE TERRESTRE -  CAMBIO TIQUETE - TASA AEROPORTUARIA </t>
  </si>
  <si>
    <t>REGRESAR AL FORMATO DE LEGALIZACION</t>
  </si>
  <si>
    <t>LUGARES VISITADOS</t>
  </si>
  <si>
    <t>OTROS VALORES</t>
  </si>
  <si>
    <r>
      <t>Nota:</t>
    </r>
    <r>
      <rPr>
        <sz val="9"/>
        <rFont val="Tahoma"/>
        <family val="2"/>
      </rPr>
      <t xml:space="preserve"> Esta relación debe estar soportada con sus respectivas facturas y/o documentos equivalentes y deben cumplir con las normas tributarias establecidas para el ello  en el artículo 617 del Estatuto Tributario.</t>
    </r>
  </si>
  <si>
    <t>A</t>
  </si>
  <si>
    <t>B</t>
  </si>
  <si>
    <t>C</t>
  </si>
  <si>
    <t>GRUPO DE PERSONAL</t>
  </si>
  <si>
    <t>CONTROL Y EJECUCION DE POLITICA CAFETERA</t>
  </si>
  <si>
    <t>GERENCIA ADMINISTRATIVA</t>
  </si>
  <si>
    <t>GERENCIA COMERCIAL</t>
  </si>
  <si>
    <t>GERENCIA FINANCIERA</t>
  </si>
  <si>
    <t>PLANEACION TACTICA</t>
  </si>
  <si>
    <t>FEDERACIÓN DE CAFETEROS</t>
  </si>
  <si>
    <t>ALMACAFÉ</t>
  </si>
  <si>
    <t>MOTIVO DE LA COMISIÓN</t>
  </si>
  <si>
    <t>VALOR</t>
  </si>
  <si>
    <r>
      <t xml:space="preserve">MES EN QUE </t>
    </r>
    <r>
      <rPr>
        <b/>
        <u/>
        <sz val="9"/>
        <color indexed="9"/>
        <rFont val="Tahoma"/>
        <family val="2"/>
      </rPr>
      <t>INICIA</t>
    </r>
    <r>
      <rPr>
        <b/>
        <sz val="8"/>
        <color indexed="9"/>
        <rFont val="Tahoma"/>
        <family val="2"/>
      </rPr>
      <t xml:space="preserve"> LA COMISIÓN</t>
    </r>
  </si>
  <si>
    <t>DATOS COMISIÓN</t>
  </si>
  <si>
    <t>INDIQUE LA EMPRESA PARA LA CUAL SE REALIZÓ ESTA COMISIÓN</t>
  </si>
  <si>
    <t>INDIQUE PARA QUE EMPRESA ES LA ACTIVIDAD QUE ORIGINA LA COMISIÓN</t>
  </si>
  <si>
    <t>MES EN QUE SE INICIO EL VIAJE</t>
  </si>
  <si>
    <t>C.C No.</t>
  </si>
  <si>
    <t>Estratégico</t>
  </si>
  <si>
    <t>Táctico</t>
  </si>
  <si>
    <t>Operativo</t>
  </si>
  <si>
    <t>Grupo</t>
  </si>
  <si>
    <t>I Estratégico</t>
  </si>
  <si>
    <t>II Táctico</t>
  </si>
  <si>
    <t>III Operativo</t>
  </si>
  <si>
    <t>Vo Bo. Jefe Inmediato</t>
  </si>
  <si>
    <t>NOMBRE:</t>
  </si>
  <si>
    <r>
      <t>Nota 1</t>
    </r>
    <r>
      <rPr>
        <sz val="9"/>
        <rFont val="Tahoma"/>
        <family val="2"/>
      </rPr>
      <t>:  Autorizo expresamente a la Federación Nacional de Cafeteros de Colombia  para descontar del  valor de mis salarios, prestaciones y/o indemnizaciones, la suma que figura a favor de la Empresa, según el presente formato.</t>
    </r>
  </si>
  <si>
    <r>
      <t>Nota 2</t>
    </r>
    <r>
      <rPr>
        <sz val="9"/>
        <rFont val="Tahoma"/>
        <family val="2"/>
      </rPr>
      <t xml:space="preserve">: Reconozco y acepto que los dineros recibidos no son constitutivos de salario. </t>
    </r>
  </si>
  <si>
    <t>Total</t>
  </si>
  <si>
    <r>
      <t xml:space="preserve">Valor del </t>
    </r>
    <r>
      <rPr>
        <sz val="8"/>
        <color indexed="9"/>
        <rFont val="Tahoma"/>
        <family val="2"/>
      </rPr>
      <t>Km</t>
    </r>
  </si>
  <si>
    <t>TOTAL SIN FACTURAS</t>
  </si>
  <si>
    <t>VALORES A LEGALIZAR</t>
  </si>
  <si>
    <t xml:space="preserve">No.  Dias </t>
  </si>
  <si>
    <t>MES</t>
  </si>
  <si>
    <t>emp</t>
  </si>
  <si>
    <t>DESARROLLO SOCIAL</t>
  </si>
  <si>
    <t>Gestión de Proyectos</t>
  </si>
  <si>
    <t>GERENCIA TECNICA</t>
  </si>
  <si>
    <t>DESARROLLAR EXTENSIÓN RURAL</t>
  </si>
  <si>
    <t>AUDITORIA</t>
  </si>
  <si>
    <t>UNIDAD FINANCIERA</t>
  </si>
  <si>
    <t>PLANEACION FINANCIERA Y PRESUPUESTO</t>
  </si>
  <si>
    <t>GESTION TRIBUTARIA</t>
  </si>
  <si>
    <t>GESTION DE TESORERIA</t>
  </si>
  <si>
    <t>GESTION CONTABLE</t>
  </si>
  <si>
    <t>RELACIONES PUBLICAS</t>
  </si>
  <si>
    <t>Ger. de Comunicaciones y Mercadeo</t>
  </si>
  <si>
    <t>MERCADEO Y PUBLICIDAD</t>
  </si>
  <si>
    <t>MEDIOS</t>
  </si>
  <si>
    <t>COMUNICACION Y MERCADEO</t>
  </si>
  <si>
    <t>COMUNICACION INTERNA</t>
  </si>
  <si>
    <t>VINCULAR Y FIDELIZAR CLIENTES</t>
  </si>
  <si>
    <t>UNIDAD ADMINISTRATIVA</t>
  </si>
  <si>
    <t>PLANEACION E INNOVACION COMERCIAL</t>
  </si>
  <si>
    <t>GESTIONAR RIESGO COMERCIAL</t>
  </si>
  <si>
    <t>DIVISION DE COOPERATIVAS</t>
  </si>
  <si>
    <t>CADENA DE SUMINISTRO</t>
  </si>
  <si>
    <t>VIGILANCIA</t>
  </si>
  <si>
    <t>SUMINISTRAR SERVICIOS</t>
  </si>
  <si>
    <t>OFICINAS COORDINADORAS</t>
  </si>
  <si>
    <t>TECNOLOGIA DE INFORMACION Y COMUNICACIONES (TIC)</t>
  </si>
  <si>
    <t>GESTIONAR TALENTO HUMANO</t>
  </si>
  <si>
    <t>GESTIONAR LA ESTRATEGIA</t>
  </si>
  <si>
    <t>DESARROLLO ORGANIZACIONAL</t>
  </si>
  <si>
    <t>GESTIONAR BIENES Y SERVICIOS</t>
  </si>
  <si>
    <t>Proceso</t>
  </si>
  <si>
    <t>PROCESO:</t>
  </si>
  <si>
    <t>Gerencia Administrativa</t>
  </si>
  <si>
    <t>Gerencia Comercial</t>
  </si>
  <si>
    <t>Gerencia Financiera</t>
  </si>
  <si>
    <t>Gerencia General</t>
  </si>
  <si>
    <t>Gerencia Técnica</t>
  </si>
  <si>
    <t>ADM</t>
  </si>
  <si>
    <t>COM</t>
  </si>
  <si>
    <t>COMU</t>
  </si>
  <si>
    <t>FIN</t>
  </si>
  <si>
    <t>GEN</t>
  </si>
  <si>
    <t>TEC</t>
  </si>
  <si>
    <t>PRY</t>
  </si>
  <si>
    <t>COOR</t>
  </si>
  <si>
    <t>DIV DE PERS</t>
  </si>
  <si>
    <t>Oficina Coordinadora</t>
  </si>
  <si>
    <t>V</t>
  </si>
  <si>
    <t>Falta el Grupo</t>
  </si>
  <si>
    <t>POR FAVOR INDIQUE EL PROCESO</t>
  </si>
  <si>
    <t>TARIFAS</t>
  </si>
  <si>
    <t>RELACION DE GASTOS POR COMISIONES DE TRABAJO PARA EFECTOS TRIBUTARIOS SOPORTADOS CON FACTURA O DOCUMENTOS EQUIVALENTES</t>
  </si>
  <si>
    <r>
      <t>REGISTRO AUTOMATICO</t>
    </r>
    <r>
      <rPr>
        <sz val="11"/>
        <rFont val="Tahoma"/>
        <family val="2"/>
      </rPr>
      <t xml:space="preserve"> --&gt; CASILLA 14 MENOS EL TOTAL DE LAS FACTURAS ANEXAS. </t>
    </r>
  </si>
  <si>
    <t>INSTRUCTIVO LEGALIZACION COMISIONES NACIONALES</t>
  </si>
  <si>
    <t>*</t>
  </si>
  <si>
    <r>
      <t xml:space="preserve">NOTA: </t>
    </r>
    <r>
      <rPr>
        <sz val="11"/>
        <rFont val="Tahoma"/>
        <family val="2"/>
      </rPr>
      <t>SI LA DURACION DE LA COMISIÓN ES DE UN (1) DÍA, SE RECONOCE EL 50% DE LA TARIFA</t>
    </r>
  </si>
  <si>
    <t>Resolución No. 003 de 2012</t>
  </si>
  <si>
    <t>DATOS  TRABAJADOR</t>
  </si>
  <si>
    <r>
      <t xml:space="preserve">TRABAJADOR    PAGO   HOTEL  </t>
    </r>
    <r>
      <rPr>
        <sz val="10"/>
        <color indexed="9"/>
        <rFont val="Tahoma"/>
        <family val="2"/>
      </rPr>
      <t>?</t>
    </r>
  </si>
  <si>
    <t>TRABAJADOR</t>
  </si>
  <si>
    <t>DATOS DEL TRABAJADOR</t>
  </si>
  <si>
    <t>NOMBRES Y APELLIDOS DEL TRABAJADOR</t>
  </si>
  <si>
    <t>CARGO QUE DESEMPEÑA ACTUALMENTE EL TRABAJADOR</t>
  </si>
  <si>
    <t>AUTOMATICO --&gt; GRUPO AL QUE PERTENECE EL TRABAJADOR</t>
  </si>
  <si>
    <t>MARQUE "NO" SI EL TRABAJADOR  NO TUVO QUE CANCELAR EL ALOJAMIENTO, EN ESTE CASO SE RECONOCE EL 50% DE LA TARIFA POR LOS DIAS DE COMISIÓN, SI EL TRABAJADOR CANCELÓ DIRECTAMENTE EL HOTEL MARQUE "SI" O DEJE EN BLANCO (INDISPENSABLE ANEXAR LA FACTURA CANCELADA)</t>
  </si>
  <si>
    <t xml:space="preserve">TRANSPORTE AEREO --&gt; TIQUETES ADICIONALES COMPRADOS POR EL TRABAJADOR (INDISPENSABLE PRESENTAR SOPORTES) </t>
  </si>
  <si>
    <t xml:space="preserve">OTROS --&gt; GASTOS, CAUSADOS CON MOTIVO DE LA COMISIÓN, Y CANCELADOS POR EL TRABAJADOR (INDISPENSABLE  SOPORTES) </t>
  </si>
  <si>
    <t>REGISTRO AUTOMATICO --&gt; INDICA SI EL SALDO ES A FAVOR DEL TRABAJADOR O DE LA EMPRESA</t>
  </si>
  <si>
    <t>Firma del Trabajador</t>
  </si>
  <si>
    <t xml:space="preserve">Firma del Trabajador </t>
  </si>
  <si>
    <t>Buencafé Liofilizado</t>
  </si>
  <si>
    <t>ADMINISTRATIVOS</t>
  </si>
  <si>
    <t>ANALISIS BACTERIOLOGICO</t>
  </si>
  <si>
    <t>ANALISIS DE EXTRACTO</t>
  </si>
  <si>
    <t>ANALISIS DE MATERIAL DE EMPAQUE</t>
  </si>
  <si>
    <t>ANALISIS DE PRODUCTO EMPACADO</t>
  </si>
  <si>
    <t>ANALISIS DE PRODUCTO TERMINADO</t>
  </si>
  <si>
    <t>ANALISIS ESPECIALES</t>
  </si>
  <si>
    <t>CONCENTRACION</t>
  </si>
  <si>
    <t>DESARROLLAR PROCESOS</t>
  </si>
  <si>
    <t>DESARROLLAR PRODUCTOS</t>
  </si>
  <si>
    <t>DESARROLLO PERSONAL Y ORGANIZACIONAL</t>
  </si>
  <si>
    <t>DIBUJO</t>
  </si>
  <si>
    <t>DIRECCION FABRICA</t>
  </si>
  <si>
    <t>DISEÑO E IMAGEN CORPORATIVA</t>
  </si>
  <si>
    <t>EMPAQUE A GRANEL</t>
  </si>
  <si>
    <t>EXTRACCION</t>
  </si>
  <si>
    <t>FINANCIEROS</t>
  </si>
  <si>
    <t>GENERACION DE VAPOR</t>
  </si>
  <si>
    <t>GESTION ADMINISTRATIVA</t>
  </si>
  <si>
    <t>GESTION AMBIENTAL</t>
  </si>
  <si>
    <t>GESTION APROVISIONAMIENTO</t>
  </si>
  <si>
    <t>GESTION COMERCIAL</t>
  </si>
  <si>
    <t>GESTION DE LA CALIDAD</t>
  </si>
  <si>
    <t>GESTION DE LA PRODUCCION</t>
  </si>
  <si>
    <t>GESTION DEL MANTENIMIENTO</t>
  </si>
  <si>
    <t>GESTION FINANCIERA</t>
  </si>
  <si>
    <t>GESTIONAR LOGISTICA DE DISTRIBUCION</t>
  </si>
  <si>
    <t>GESTIONAR TECNOLOGIA DE INFO Y COMUNICAC</t>
  </si>
  <si>
    <t>INNVOVAR PRODUCTOS Y PROCESOS</t>
  </si>
  <si>
    <t>LIOFILIZACION</t>
  </si>
  <si>
    <t>LOGISTICA DE DISTRIBUCION</t>
  </si>
  <si>
    <t>MANTENIMIENTO DE EDIFICIOS</t>
  </si>
  <si>
    <t>MANTENIMIENTO DE INSTRUMENTOS</t>
  </si>
  <si>
    <t>MANTENIMIENTO ELECTRICO</t>
  </si>
  <si>
    <t>MANTENIMIENTO MECANICO DE PRODUCCION</t>
  </si>
  <si>
    <t>MANTENIMIENTO MECANICO DE SERVICIOS</t>
  </si>
  <si>
    <t>PRODUCTO TERMINADO</t>
  </si>
  <si>
    <t>REFRIGERACION</t>
  </si>
  <si>
    <t>REPROCESOS</t>
  </si>
  <si>
    <t>SEGURIDAD INDUSTRIAL</t>
  </si>
  <si>
    <t>SERVICIOS GENERALES</t>
  </si>
  <si>
    <t>TOSTACION</t>
  </si>
  <si>
    <t>TRATAMIENTO DE AGUAS</t>
  </si>
  <si>
    <t>BCAFE</t>
  </si>
  <si>
    <t>Cenicafé</t>
  </si>
  <si>
    <t>CENIC</t>
  </si>
  <si>
    <t>AGROCLIMATOLOGIA</t>
  </si>
  <si>
    <t>BIOLOGIA DE LA CONSERVACION</t>
  </si>
  <si>
    <t>BIOMETRIA</t>
  </si>
  <si>
    <t>CALIDAD</t>
  </si>
  <si>
    <t>DIRECCIÓN</t>
  </si>
  <si>
    <t>DIVULGACIÓN Y TRASNSFERENCIA</t>
  </si>
  <si>
    <t>DOCUMENTACIÓN</t>
  </si>
  <si>
    <t>ECONOMIA</t>
  </si>
  <si>
    <t>ENTOMOLOGÍA</t>
  </si>
  <si>
    <t>ESTACION EXP PARAGUAICITO - BUENAVIST</t>
  </si>
  <si>
    <t>ESTACION EXPERIME LA CATALINA - PEREIRA</t>
  </si>
  <si>
    <t>ESTACION EXPERIMEN EL ROSARIO - VENECIA</t>
  </si>
  <si>
    <t>ESTACIÓN EXPERIMENTAC PUEBLO BELLO CESAR</t>
  </si>
  <si>
    <t>ESTACION EXPERIMENTAL EL LIBANO - TOLIMA</t>
  </si>
  <si>
    <t>ESTACION EXPERIMENTAL EL TAMBO - CAUCA</t>
  </si>
  <si>
    <t>ESTACION EXPERIMENTAL FLORIDA SANTANDER</t>
  </si>
  <si>
    <t>ESTACION EXPERIMENTAL NARANJAL</t>
  </si>
  <si>
    <t>EXPERIMENTACION</t>
  </si>
  <si>
    <t>FISIOLOGÍA VEGETAL</t>
  </si>
  <si>
    <t>FITOPATOLOGÍA</t>
  </si>
  <si>
    <t>FITOTECNIA</t>
  </si>
  <si>
    <t>GESTION DE RECURSOS NATURALES Y CONSERVA</t>
  </si>
  <si>
    <t>GESTIONAR TECNOLOGIA DE INFORM Y COMUNIC</t>
  </si>
  <si>
    <t>INGENIERIA AGRICOLA</t>
  </si>
  <si>
    <t>MEJORAMIENTO GENETICO</t>
  </si>
  <si>
    <t>PROCESOS ADMINISTRATIVOS Y FINANCIEROS</t>
  </si>
  <si>
    <t>SOSTENIBILIDAD</t>
  </si>
  <si>
    <t>SUELOS</t>
  </si>
  <si>
    <t>Inspecciones Cafeteras</t>
  </si>
  <si>
    <t>INSP</t>
  </si>
  <si>
    <t>INSPECAFÉ BUENAVENTURA</t>
  </si>
  <si>
    <t>INSPECAFÉ CARTAGENA</t>
  </si>
  <si>
    <t>INSPECAFÉ SANTA MARTA</t>
  </si>
  <si>
    <t xml:space="preserve"> 14  - FACTURAS REGISTRADAS</t>
  </si>
  <si>
    <t>FEDERACIÓN NACIONAL DE CAFETEROS DE COLOMBIA</t>
  </si>
  <si>
    <t>CÓDIGO:</t>
  </si>
  <si>
    <t>FECHA:</t>
  </si>
  <si>
    <t>MEMORANDO GAD06C02119  Dic 07 de 2006</t>
  </si>
  <si>
    <t>ASUNTOS GREMIALES</t>
  </si>
  <si>
    <t>RIESGO CORPORATIVO</t>
  </si>
  <si>
    <t>CÉDULA</t>
  </si>
  <si>
    <t>ELABORADO POR</t>
  </si>
  <si>
    <t xml:space="preserve"> LEGALIZACION COMISIONES DE TRABAJO</t>
  </si>
  <si>
    <t>Tipo</t>
  </si>
  <si>
    <t>NACIONAL</t>
  </si>
  <si>
    <t>EXTERIOR</t>
  </si>
  <si>
    <t>VALORES</t>
  </si>
  <si>
    <t>USD</t>
  </si>
  <si>
    <t>TASA DE CAMBIO</t>
  </si>
  <si>
    <t>TARIFAS USD</t>
  </si>
  <si>
    <t>IE</t>
  </si>
  <si>
    <t>IIE</t>
  </si>
  <si>
    <t>IIIE</t>
  </si>
  <si>
    <t xml:space="preserve">CÉDULA:         </t>
  </si>
  <si>
    <t xml:space="preserve">Cédula Trabajador: </t>
  </si>
  <si>
    <t>DEVOLUCIONES A TESORERIA USD- PESOS</t>
  </si>
  <si>
    <t>ENTIDAD</t>
  </si>
  <si>
    <t>NIT</t>
  </si>
  <si>
    <t>VR. EN MONEDA EXTRANJERA</t>
  </si>
  <si>
    <t>TIPO</t>
  </si>
  <si>
    <t>TARJETA PREPAGO</t>
  </si>
  <si>
    <t>9.1</t>
  </si>
  <si>
    <t>COP</t>
  </si>
  <si>
    <t>Nombre Nivel 4</t>
  </si>
  <si>
    <t>ASESORIA ESTRATEGIA E INNOVACION</t>
  </si>
  <si>
    <t>COORDINACION  COOPERATIVAS</t>
  </si>
  <si>
    <t>COORDINACION ADMINISTRATIVA</t>
  </si>
  <si>
    <t>COORDINACION APROVISIONAMIENTO</t>
  </si>
  <si>
    <t>COORDINACION ASEGURAMIENTO QA</t>
  </si>
  <si>
    <t>COORDINACION BIENES Y SERVICIOS</t>
  </si>
  <si>
    <t>COORDINACION COMERCIAL</t>
  </si>
  <si>
    <t>COORDINACION COMERCIAL CAFES ESPECIALES</t>
  </si>
  <si>
    <t>COORDINACION COMERCIO SOSTENIBLE</t>
  </si>
  <si>
    <t>COORDINACION COMPRAS</t>
  </si>
  <si>
    <t>COORDINACION COMPRAS Y CONTRATACION</t>
  </si>
  <si>
    <t>COORDINACION COMUNICACIONES</t>
  </si>
  <si>
    <t>COORDINACION COMUNICACIONES AL CAFICULTOR</t>
  </si>
  <si>
    <t>COORDINACION CONTABLE</t>
  </si>
  <si>
    <t>COORDINACION DESARROLLO SOCIAL</t>
  </si>
  <si>
    <t>COORDINACION DOCUMENTACION</t>
  </si>
  <si>
    <t>COORDINACION EXPORTACIONES</t>
  </si>
  <si>
    <t>COORDINACION EXTENSION</t>
  </si>
  <si>
    <t>COORDINACION FINANCIERA</t>
  </si>
  <si>
    <t>COORDINACION FORTALECIMIENTO GREMIAL</t>
  </si>
  <si>
    <t>COORDINACION GESTION HUMANA</t>
  </si>
  <si>
    <t>COORDINACION GESTION PROYECTOS</t>
  </si>
  <si>
    <t>COORDINACION GESTION TRIBUTARIA</t>
  </si>
  <si>
    <t>COORDINACION INFORMACION CAFETERA</t>
  </si>
  <si>
    <t>COORDINACION JURIDICA</t>
  </si>
  <si>
    <t>COORDINACION MANTENIMIENTO</t>
  </si>
  <si>
    <t>COORDINACION NOMINA</t>
  </si>
  <si>
    <t>COORDINACION PROGRAMA NACIONAL SICA</t>
  </si>
  <si>
    <t>COORDINACION PROPIEDAD INTELECTUAL</t>
  </si>
  <si>
    <t>COORDINACION PROYECTOS INMOBILIARIOS</t>
  </si>
  <si>
    <t>COORDINACION RELACIONES PUBLICAS</t>
  </si>
  <si>
    <t>COORDINACION REPESOS</t>
  </si>
  <si>
    <t>COORDINACION SECCIONAL</t>
  </si>
  <si>
    <t>COORDINACION SECCIONAL CAQUETA</t>
  </si>
  <si>
    <t>COORDINACION SECCIONAL CASANARE</t>
  </si>
  <si>
    <t>COORDINACION SECCIONAL META</t>
  </si>
  <si>
    <t>COORDINACION SEGURIDAD FISICA</t>
  </si>
  <si>
    <t>COORDINACION SERVICIOS TIC</t>
  </si>
  <si>
    <t>COORDINACION TECNOLOGIA DE INFORMACION Y COMUNICACIONES</t>
  </si>
  <si>
    <t>COORDINACION VENTAS</t>
  </si>
  <si>
    <t>DIRECCION ADMINISTRATIVA</t>
  </si>
  <si>
    <t>DIRECCION ADMINISTRATIVA Y FINANCIERA</t>
  </si>
  <si>
    <t>DIRECCION ASUNTOS GREMIALES</t>
  </si>
  <si>
    <t>DIRECCION CADENA DE SUMINISTROS</t>
  </si>
  <si>
    <t>DIRECCION CALIDAD</t>
  </si>
  <si>
    <t>DIRECCION COMERCIAL</t>
  </si>
  <si>
    <t>DIRECCION COMERCIAL CAFES ESPECIALES</t>
  </si>
  <si>
    <t>DIRECCION COMUNICACIONES CORPORATIVAS</t>
  </si>
  <si>
    <t>DIRECCION CONTABLE</t>
  </si>
  <si>
    <t>DIRECCION COOPERATIVAS</t>
  </si>
  <si>
    <t>DIRECCION DE INVESTIGACION</t>
  </si>
  <si>
    <t>DIRECCION DE TESORERIA</t>
  </si>
  <si>
    <t>DIRECCION DESARROLLO</t>
  </si>
  <si>
    <t>DIRECCION DESARROLLO ORGANIZACIONAL</t>
  </si>
  <si>
    <t>DIRECCION DESARROLLO SOCIAL</t>
  </si>
  <si>
    <t>DIRECCION EJECUTIVA</t>
  </si>
  <si>
    <t>DIRECCION EXTENSION RURAL</t>
  </si>
  <si>
    <t>DIRECCION GENERAL</t>
  </si>
  <si>
    <t>DIRECCION GESTION HUMANA</t>
  </si>
  <si>
    <t>DIRECCION INGENIERIA</t>
  </si>
  <si>
    <t>DIRECCION INSPECCION CAFETERA</t>
  </si>
  <si>
    <t>DIRECCION INVESTIGACIONES ECONOMICAS</t>
  </si>
  <si>
    <t>DIRECCION JURIDICA</t>
  </si>
  <si>
    <t>DIRECCION LOGISTICA</t>
  </si>
  <si>
    <t>DIRECCION MERCADEO Y RELACIONES PUBLICAS</t>
  </si>
  <si>
    <t>DIRECCION NACIONAL DE GESTION DE PROYECTOS</t>
  </si>
  <si>
    <t>DIRECCION OFICINAS COORDINADORAS</t>
  </si>
  <si>
    <t>DIRECCION PLANEACION COMERCIAL</t>
  </si>
  <si>
    <t>DIRECCION PLANEACION FINANCIERA Y PRESUPUESTO</t>
  </si>
  <si>
    <t>DIRECCION PROCESO</t>
  </si>
  <si>
    <t>DIRECCION RIESGO CORPORATIVO</t>
  </si>
  <si>
    <t>DIRECCION RIESGO FINANCIERO</t>
  </si>
  <si>
    <t>DIRECCION TECNOLOGIA DE INFORMACION Y COMUNICACIONES</t>
  </si>
  <si>
    <t>DISCIPLINA AGROCLIMATOLOGIA</t>
  </si>
  <si>
    <t>DISCIPLINA BIOMETRIA</t>
  </si>
  <si>
    <t>DISCIPLINA CALIDAD</t>
  </si>
  <si>
    <t>DISCIPLINA DIVULGACION Y TRANSFERENCIA</t>
  </si>
  <si>
    <t>DISCIPLINA ECONOMIA</t>
  </si>
  <si>
    <t>DISCIPLINA ENTOMOLOGIA</t>
  </si>
  <si>
    <t>DISCIPLINA ESTACION EXPERIMENTAL EL LIBANO</t>
  </si>
  <si>
    <t>DISCIPLINA ESTACION EXPERIMENTAL EL ROSARIO</t>
  </si>
  <si>
    <t>DISCIPLINA ESTACION EXPERIMENTAL EL TAMBO</t>
  </si>
  <si>
    <t>DISCIPLINA ESTACION EXPERIMENTAL FLORIDA</t>
  </si>
  <si>
    <t>DISCIPLINA ESTACION EXPERIMENTAL NARANJAL</t>
  </si>
  <si>
    <t>DISCIPLINA ESTACION EXPERIMENTAL PARAGUAICITO</t>
  </si>
  <si>
    <t>DISCIPLINA ESTACION EXPERIMENTAL PUEBLO BELLO</t>
  </si>
  <si>
    <t>DISCIPLINA EXPERIMENTACION</t>
  </si>
  <si>
    <t>DISCIPLINA FISIOLOGIA VEGETAL</t>
  </si>
  <si>
    <t>DISCIPLINA FITOPATOLOGIA</t>
  </si>
  <si>
    <t>DISCIPLINA FITOTECNIA</t>
  </si>
  <si>
    <t>DISCIPLINA MEJORAMIENTO GENETICO</t>
  </si>
  <si>
    <t>DISCIPLINA POSCOSECHA</t>
  </si>
  <si>
    <t>DISCIPLINA SUELOS</t>
  </si>
  <si>
    <t>GERENCIA ADMINISTRATIVA Y FINANCIERA</t>
  </si>
  <si>
    <t>PROYECTOS</t>
  </si>
  <si>
    <t>Nombre Nivel 3</t>
  </si>
  <si>
    <t>BUENCAFE LIOFILIZADO DE COLOMBIA</t>
  </si>
  <si>
    <t>CENTRO NACIONAL DE INVESTIGACIONES DE CAFE - CENICAFE</t>
  </si>
  <si>
    <t>COMITE DEPARTAMENTAL DE CAFETEROS DE ANTIOQUIA</t>
  </si>
  <si>
    <t>COMITE DEPARTAMENTAL DE CAFETEROS DE BOYACA</t>
  </si>
  <si>
    <t>COMITE DEPARTAMENTAL DE CAFETEROS DE CALDAS</t>
  </si>
  <si>
    <t>COMITE DEPARTAMENTAL DE CAFETEROS DE CAUCA</t>
  </si>
  <si>
    <t>COMITE DEPARTAMENTAL DE CAFETEROS DE CESAR Y GUAJIRA</t>
  </si>
  <si>
    <t>COMITE DEPARTAMENTAL DE CAFETEROS DE CUNDINAMARCA</t>
  </si>
  <si>
    <t>COMITE DEPARTAMENTAL DE CAFETEROS DE HUILA</t>
  </si>
  <si>
    <t>COMITE DEPARTAMENTAL DE CAFETEROS DE MAGDALENA</t>
  </si>
  <si>
    <t>COMITE DEPARTAMENTAL DE CAFETEROS DE NARIÑO</t>
  </si>
  <si>
    <t>COMITE DEPARTAMENTAL DE CAFETEROS DE NORTE DE SANTANDER</t>
  </si>
  <si>
    <t>COMITE DEPARTAMENTAL DE CAFETEROS DE QUINDIO</t>
  </si>
  <si>
    <t>COMITE DEPARTAMENTAL DE CAFETEROS DE RISARALDA</t>
  </si>
  <si>
    <t>COMITE DEPARTAMENTAL DE CAFETEROS DE SANTANDER</t>
  </si>
  <si>
    <t>COMITE DEPARTAMENTAL DE CAFETEROS DE TOLIMA</t>
  </si>
  <si>
    <t>COMITE DEPARTAMENTAL DE CAFETEROS DE VALLE</t>
  </si>
  <si>
    <t>INSPECCION CAFETERA DE BUENAVENTURA</t>
  </si>
  <si>
    <t>INSPECCION CAFETERA DE CARTAGENA</t>
  </si>
  <si>
    <t>INSPECCION CAFETERA DE SANTA MARTA</t>
  </si>
  <si>
    <t>OFICINA CENTRAL</t>
  </si>
  <si>
    <t>OFICINAS COORDINADORAS Y OTROS TERRITORIOS</t>
  </si>
  <si>
    <t>ABOGADO JUNIOR</t>
  </si>
  <si>
    <t>ABOGADO SENIOR</t>
  </si>
  <si>
    <t>ABOGADO SENIOR I</t>
  </si>
  <si>
    <t>ABOGADO SENIOR II</t>
  </si>
  <si>
    <t>ADMINISTRADOR GRANJA</t>
  </si>
  <si>
    <t>ANALISTA</t>
  </si>
  <si>
    <t>ANALISTA ADMINISTRATIVO Y FINANCIERO</t>
  </si>
  <si>
    <t>ANALISTA APROVISIONAMIENTO</t>
  </si>
  <si>
    <t>ANALISTA BIENES Y SERVICIOS</t>
  </si>
  <si>
    <t>ANALISTA CALIDAD</t>
  </si>
  <si>
    <t>ANALISTA CALIDAD II</t>
  </si>
  <si>
    <t>ANALISTA CEDI</t>
  </si>
  <si>
    <t>ANALISTA COMERCIAL</t>
  </si>
  <si>
    <t>ANALISTA COMERCIAL CAFE VERDE</t>
  </si>
  <si>
    <t>ANALISTA COMERCIAL CAFES ESPECIALES</t>
  </si>
  <si>
    <t>ANALISTA COMERCIO SOSTENIBLE</t>
  </si>
  <si>
    <t>ANALISTA COMPRAS</t>
  </si>
  <si>
    <t>ANALISTA COMUNICACION</t>
  </si>
  <si>
    <t>ANALISTA CONTABLE</t>
  </si>
  <si>
    <t>ANALISTA COOPERATIVAS</t>
  </si>
  <si>
    <t>ANALISTA CUENTA AHORRO CAFETERA</t>
  </si>
  <si>
    <t>ANALISTA DESARROLLO ORGANIZACIONAL</t>
  </si>
  <si>
    <t>ANALISTA DESARROLLO SOCIAL</t>
  </si>
  <si>
    <t>ANALISTA DIVULGACION</t>
  </si>
  <si>
    <t>ANALISTA EXPORTACIONES</t>
  </si>
  <si>
    <t>ANALISTA FINANCIERO</t>
  </si>
  <si>
    <t>ANALISTA FORTALECIMIENTO GREMIAL</t>
  </si>
  <si>
    <t>ANALISTA GESTION HUMANA</t>
  </si>
  <si>
    <t>ANALISTA GESTION TRIBUTARIA</t>
  </si>
  <si>
    <t>ANALISTA INFORMACION</t>
  </si>
  <si>
    <t>ANALISTA INFORMACION CAFETERA</t>
  </si>
  <si>
    <t>ANALISTA INVESTIGACIONES ECONOMICAS</t>
  </si>
  <si>
    <t>ANALISTA LOGISTICA</t>
  </si>
  <si>
    <t>ANALISTA MERCADEO</t>
  </si>
  <si>
    <t>ANALISTA METROLOGIA</t>
  </si>
  <si>
    <t>ANALISTA PLANEACION COMERCIAL</t>
  </si>
  <si>
    <t>ANALISTA PLANEACION FINANCIERA Y PRESUPU</t>
  </si>
  <si>
    <t>ANALISTA PROPIEDAD INTELECTUAL</t>
  </si>
  <si>
    <t>ANALISTA PROYECTOS</t>
  </si>
  <si>
    <t>ANALISTA REPESOS</t>
  </si>
  <si>
    <t>ANALISTA RIESGO FINANCIERO</t>
  </si>
  <si>
    <t>ANALISTA RIESGO Y CUMPLIMIENTO</t>
  </si>
  <si>
    <t>ANALISTA SICA</t>
  </si>
  <si>
    <t>ANALISTA SISTEMA INFO GEOGRAFICA</t>
  </si>
  <si>
    <t>ANALISTA SOPORTE FINANCIERO</t>
  </si>
  <si>
    <t>ANALISTA TESORERIA</t>
  </si>
  <si>
    <t>ANALISTA TIC</t>
  </si>
  <si>
    <t>APRENDIZ</t>
  </si>
  <si>
    <t>ASESOR ALIANZAS INTERNACIONALES</t>
  </si>
  <si>
    <t>ASESOR ALIANZAS PUBLICAS Y PRIVADAS</t>
  </si>
  <si>
    <t>ASESOR ESTRATEGIA E INNOVACION</t>
  </si>
  <si>
    <t>ASISTENTE ADMINISTRATIVO</t>
  </si>
  <si>
    <t>ASISTENTE GERENCIA</t>
  </si>
  <si>
    <t>ASISTENTE INVESTIGACION</t>
  </si>
  <si>
    <t>ASISTENTE TECNICO PROYECTO</t>
  </si>
  <si>
    <t>AUDITOR GENERAL</t>
  </si>
  <si>
    <t>AUDITOR JUNIOR</t>
  </si>
  <si>
    <t>AUDITOR SENIOR</t>
  </si>
  <si>
    <t>AUXILIAR ADMINISTRATIVO</t>
  </si>
  <si>
    <t>AUXILIAR AGROCLIMATOLOGIA</t>
  </si>
  <si>
    <t>AUXILIAR ALMACEN PRODUCTO TERMINADO</t>
  </si>
  <si>
    <t>AUXILIAR ASEO Y CAFETERIA</t>
  </si>
  <si>
    <t>AUXILIAR BIENES Y SERVICIOS</t>
  </si>
  <si>
    <t>AUXILIAR CONTABLE</t>
  </si>
  <si>
    <t>AUXILIAR DESARROLLO</t>
  </si>
  <si>
    <t>AUXILIAR DOCUMENTACION</t>
  </si>
  <si>
    <t>AUXILIAR EXPORTACIONES</t>
  </si>
  <si>
    <t>AUXILIAR FINANCIERO</t>
  </si>
  <si>
    <t>AUXILIAR GESTION DOCUMENTAL</t>
  </si>
  <si>
    <t>AUXILIAR GESTION HUMANA</t>
  </si>
  <si>
    <t>AUXILIAR I DIVULGACION</t>
  </si>
  <si>
    <t>AUXILIAR I INVESTIGACION</t>
  </si>
  <si>
    <t>AUXILIAR II INVESTIGACION</t>
  </si>
  <si>
    <t>AUXILIAR III INVESTIGACION</t>
  </si>
  <si>
    <t>AUXILIAR INVESTIGACION</t>
  </si>
  <si>
    <t>AUXILIAR IV INVESTIGACION</t>
  </si>
  <si>
    <t>AUXILIAR MANTENIMIENTO</t>
  </si>
  <si>
    <t>AUXILIAR MECANICA</t>
  </si>
  <si>
    <t>AUXILIAR PLANEACION FINANCIERA Y PRESUPU</t>
  </si>
  <si>
    <t>AUXILIAR REPESOS</t>
  </si>
  <si>
    <t>AUXILIAR SEGURIDAD INDUSTRIAL</t>
  </si>
  <si>
    <t>AUXILIAR SEGURIDAD PATRIMONIAL</t>
  </si>
  <si>
    <t>AUXILIAR SERVICIOS</t>
  </si>
  <si>
    <t>AUXILIAR SERVICIOS ESPECIALES</t>
  </si>
  <si>
    <t>AUXILIAR TESORERIA</t>
  </si>
  <si>
    <t>AUXILIAR TIC</t>
  </si>
  <si>
    <t>AYUDANTE</t>
  </si>
  <si>
    <t>AYUDANTE I</t>
  </si>
  <si>
    <t>AYUDANTE I MANTENIMIENTO</t>
  </si>
  <si>
    <t>AYUDANTE II</t>
  </si>
  <si>
    <t>AYUDANTE REPESOS</t>
  </si>
  <si>
    <t>CONTADOR GENERAL</t>
  </si>
  <si>
    <t>COORDINADOR ADMINISTRATIVO</t>
  </si>
  <si>
    <t>COORDINADOR ALMACEN MATERIALES</t>
  </si>
  <si>
    <t>COORDINADOR ALMACEN PRODUCTO TERMINADO</t>
  </si>
  <si>
    <t>COORDINADOR APROVISIONAMIENTO</t>
  </si>
  <si>
    <t>COORDINADOR ASEGURAMIENTO QA</t>
  </si>
  <si>
    <t>COORDINADOR BIENES Y SERVICIOS</t>
  </si>
  <si>
    <t>COORDINADOR COMERCIAL</t>
  </si>
  <si>
    <t>COORDINADOR COMERCIAL CAFES ESPECIALES</t>
  </si>
  <si>
    <t>COORDINADOR COMERCIO SOSTENIBLE</t>
  </si>
  <si>
    <t>COORDINADOR COMPRAS</t>
  </si>
  <si>
    <t>COORDINADOR COMUNICACION AL CAFICULTOR</t>
  </si>
  <si>
    <t>COORDINADOR COMUNICACIONES</t>
  </si>
  <si>
    <t>COORDINADOR CONTABLE</t>
  </si>
  <si>
    <t>COORDINADOR DESARROLLO COOPERATIVO</t>
  </si>
  <si>
    <t>COORDINADOR DESARROLLO OPERACIONES</t>
  </si>
  <si>
    <t>COORDINADOR DESARROLLO SOCIAL</t>
  </si>
  <si>
    <t>COORDINADOR DISEÑO E IMAGEN</t>
  </si>
  <si>
    <t>COORDINADOR DIVULGACION Y TRANSFERENCIA</t>
  </si>
  <si>
    <t>COORDINADOR DOCUMENTACION</t>
  </si>
  <si>
    <t>COORDINADOR EXPORTACIONES</t>
  </si>
  <si>
    <t>COORDINADOR FINANCIERO</t>
  </si>
  <si>
    <t>COORDINADOR FORTALECIMIENTO GREMIAL</t>
  </si>
  <si>
    <t>COORDINADOR GESTION CALIDAD</t>
  </si>
  <si>
    <t>COORDINADOR GESTION HUMANA</t>
  </si>
  <si>
    <t>COORDINADOR GESTION PROYECTOS</t>
  </si>
  <si>
    <t>COORDINADOR GESTION TRIBUTARIA</t>
  </si>
  <si>
    <t>COORDINADOR INFORMACION CAFETERA</t>
  </si>
  <si>
    <t>COORDINADOR INFRAESTRUCTURA</t>
  </si>
  <si>
    <t>COORDINADOR INGENIERIA</t>
  </si>
  <si>
    <t>COORDINADOR JURIDICO</t>
  </si>
  <si>
    <t>COORDINADOR LOGISTICA DISTRIBUCION</t>
  </si>
  <si>
    <t>COORDINADOR LOGISTICO CEDI</t>
  </si>
  <si>
    <t>COORDINADOR MANTENIMIENTO</t>
  </si>
  <si>
    <t>COORDINADOR MANTENIMIENTO EDIFICIOS</t>
  </si>
  <si>
    <t>COORDINADOR MERCADEO Y VENTAS</t>
  </si>
  <si>
    <t>COORDINADOR NACIONAL GESTION PROYECTOS</t>
  </si>
  <si>
    <t>COORDINADOR NOMINA</t>
  </si>
  <si>
    <t>COORDINADOR OPERACIONES</t>
  </si>
  <si>
    <t>COORDINADOR PLANEACION CADENA SUMINISTRO</t>
  </si>
  <si>
    <t>COORDINADOR PLANEACION Y CONTROL</t>
  </si>
  <si>
    <t>COORDINADOR PRESUPUESTO</t>
  </si>
  <si>
    <t>COORDINADOR PROCESO</t>
  </si>
  <si>
    <t>COORDINADOR PROGRAMA</t>
  </si>
  <si>
    <t>COORDINADOR PROGRAMA EQUIDAD GENERO</t>
  </si>
  <si>
    <t>COORDINADOR PROGRAMA NACIONAL</t>
  </si>
  <si>
    <t>COORDINADOR PROGRAMA PCC</t>
  </si>
  <si>
    <t>COORDINADOR PROGRAMA YARUMO</t>
  </si>
  <si>
    <t>COORDINADOR PROPIEDAD INTELECTUAL</t>
  </si>
  <si>
    <t>COORDINADOR PROYECTOS INMOBILIARIOS</t>
  </si>
  <si>
    <t>COORDINADOR RELACIONES PUBLICAS</t>
  </si>
  <si>
    <t>COORDINADOR REPESOS</t>
  </si>
  <si>
    <t>COORDINADOR SECCIONAL EXTENSION RURAL</t>
  </si>
  <si>
    <t>COORDINADOR SEGURIDAD FISICA</t>
  </si>
  <si>
    <t>COORDINADOR SEGURIDAD INDUSTRIAL</t>
  </si>
  <si>
    <t>COORDINADOR SERVICIOS SALUD</t>
  </si>
  <si>
    <t>COORDINADOR SERVICIOS TIC</t>
  </si>
  <si>
    <t>COORDINADOR TIC</t>
  </si>
  <si>
    <t>COORDINADOR VENTAS</t>
  </si>
  <si>
    <t>DIBUJANTE</t>
  </si>
  <si>
    <t>DIRECTOR</t>
  </si>
  <si>
    <t>DIRECTOR ADMINISTRATIVO</t>
  </si>
  <si>
    <t>DIRECTOR ADMINISTRATIVO Y FINANCIERO</t>
  </si>
  <si>
    <t>DIRECTOR ASUNTOS GREMIALES</t>
  </si>
  <si>
    <t>DIRECTOR CADENA SUMINISTROS</t>
  </si>
  <si>
    <t>DIRECTOR CALIDAD</t>
  </si>
  <si>
    <t>DIRECTOR COMERCIAL</t>
  </si>
  <si>
    <t>DIRECTOR COMERCIAL CAFES ESPECIALES</t>
  </si>
  <si>
    <t>DIRECTOR COMUNICACION CORPORATIVA</t>
  </si>
  <si>
    <t>DIRECTOR COOPERATIVAS</t>
  </si>
  <si>
    <t>DIRECTOR DESARROLLO ORGANIZACIONAL</t>
  </si>
  <si>
    <t>DIRECTOR DESARROLLO SOCIAL</t>
  </si>
  <si>
    <t>DIRECTOR EJECUTIVO</t>
  </si>
  <si>
    <t>DIRECTOR GENERAL</t>
  </si>
  <si>
    <t>DIRECTOR GESTION HUMANA</t>
  </si>
  <si>
    <t>DIRECTOR INGENIERIA</t>
  </si>
  <si>
    <t>DIRECTOR INVESTIGACION CIENTIFICA Y TECN</t>
  </si>
  <si>
    <t>DIRECTOR INVESTIGACION Y DESARROLLO</t>
  </si>
  <si>
    <t>DIRECTOR INVESTIGACIONES ECONOMICAS</t>
  </si>
  <si>
    <t>DIRECTOR JURIDICO</t>
  </si>
  <si>
    <t>DIRECTOR LOGISTICA</t>
  </si>
  <si>
    <t>DIRECTOR MERCADEO Y RELACIONES PUBLICAS</t>
  </si>
  <si>
    <t>DIRECTOR NACIONAL GESTION PROYECTOS</t>
  </si>
  <si>
    <t>DIRECTOR OF COORDINADORAS Y TERRITORIOS</t>
  </si>
  <si>
    <t>DIRECTOR PLANEACION COMERCIAL</t>
  </si>
  <si>
    <t>DIRECTOR PLANEACION FINANCIERA Y PRESUPU</t>
  </si>
  <si>
    <t>DIRECTOR PROCESO</t>
  </si>
  <si>
    <t>DIRECTOR RIESGO CORPORATIVO</t>
  </si>
  <si>
    <t>DIRECTOR RIESGO FINANCIERO</t>
  </si>
  <si>
    <t>DISEÑADOR GRAFICO JUNIOR</t>
  </si>
  <si>
    <t>DISEÑADOR GRAFICO SENIOR</t>
  </si>
  <si>
    <t>EJECUTIVO VENTAS OFICINA CHINA</t>
  </si>
  <si>
    <t>ELECTRICISTA</t>
  </si>
  <si>
    <t>ENCARGADO FINCA</t>
  </si>
  <si>
    <t>ENFERMERA</t>
  </si>
  <si>
    <t>ESPECIALISTA APROVISIONAMIENTO</t>
  </si>
  <si>
    <t>ESPECIALISTA ARQUITECTURA TECNOLOGICA</t>
  </si>
  <si>
    <t>ESPECIALISTA BIENES Y SERVICIOS</t>
  </si>
  <si>
    <t>ESPECIALISTA COMERCIO SOSTENIBLE</t>
  </si>
  <si>
    <t>ESPECIALISTA COMUNICACIONES</t>
  </si>
  <si>
    <t>ESPECIALISTA CONTABLE</t>
  </si>
  <si>
    <t>ESPECIALISTA COOPERATIVAS</t>
  </si>
  <si>
    <t>ESPECIALISTA DESARROLLO ORGANIZACIONAL</t>
  </si>
  <si>
    <t>ESPECIALISTA DESARROLLO SOCIAL</t>
  </si>
  <si>
    <t>ESPECIALISTA ESTRATEGIA</t>
  </si>
  <si>
    <t>ESPECIALISTA FINANCIERO</t>
  </si>
  <si>
    <t>ESPECIALISTA FORTALECIMIENTO GREMIAL</t>
  </si>
  <si>
    <t>ESPECIALISTA GESTION HUMANA</t>
  </si>
  <si>
    <t>ESPECIALISTA GESTION TRIBUTARIA</t>
  </si>
  <si>
    <t>ESPECIALISTA INFORMACION CAFETERA</t>
  </si>
  <si>
    <t>ESPECIALISTA INFRAESTRUCTURA</t>
  </si>
  <si>
    <t>ESPECIALISTA INNOVACION</t>
  </si>
  <si>
    <t>ESPECIALISTA INVESTIGACIONES ECONOMICAS</t>
  </si>
  <si>
    <t>ESPECIALISTA LOGISTICA</t>
  </si>
  <si>
    <t>ESPECIALISTA MANTENIMIENTO APP</t>
  </si>
  <si>
    <t>ESPECIALISTA MERCADEO</t>
  </si>
  <si>
    <t>ESPECIALISTA OPERACIONES CALIDAD</t>
  </si>
  <si>
    <t>ESPECIALISTA PLANEACION COMERCIAL</t>
  </si>
  <si>
    <t>ESPECIALISTA PLANEACION FINANCIERA Y PRE</t>
  </si>
  <si>
    <t>ESPECIALISTA PROYECTOS</t>
  </si>
  <si>
    <t>ESPECIALISTA RELACIONES PUBLICAS</t>
  </si>
  <si>
    <t>ESPECIALISTA RIESGO FINANCIERO</t>
  </si>
  <si>
    <t>ESPECIALISTA RIESGO Y CUMPLIMIENTO</t>
  </si>
  <si>
    <t>ESPECIALISTA SALUD OCUPACIONAL</t>
  </si>
  <si>
    <t>ESPECIALISTA SERVICIOS TIC</t>
  </si>
  <si>
    <t>ESPECIALISTA SISTEMA INFO GEOGRAFICA</t>
  </si>
  <si>
    <t>ESPECIALISTA TESORERIA</t>
  </si>
  <si>
    <t>ESPECIALISTA TIC</t>
  </si>
  <si>
    <t>ESPECIALISTA VENTAS</t>
  </si>
  <si>
    <t>ESTRUCTURADOR PROYECTOS</t>
  </si>
  <si>
    <t>EXTENSIONISTA</t>
  </si>
  <si>
    <t>GERENTE ADMINISTRATIVO Y FINANCIERO</t>
  </si>
  <si>
    <t>GERENTE COMERCIAL</t>
  </si>
  <si>
    <t>GERENTE GENERAL</t>
  </si>
  <si>
    <t>GERENTE TECNICO</t>
  </si>
  <si>
    <t>GESTOR PROYECTO</t>
  </si>
  <si>
    <t>INGENIERO DESARROLLO CALIDAD</t>
  </si>
  <si>
    <t>INGENIERO INVESTIGACION Y DESARROLLO</t>
  </si>
  <si>
    <t>INGENIERO PROCESO</t>
  </si>
  <si>
    <t>INSPECTOR CAFETERO</t>
  </si>
  <si>
    <t>INSTRUMENTISTA</t>
  </si>
  <si>
    <t>INSTRUMENTISTA I</t>
  </si>
  <si>
    <t>INSTRUMENTISTA II</t>
  </si>
  <si>
    <t>INSTRUMENTISTA III</t>
  </si>
  <si>
    <t>INVESTIGADOR CIENTIFICO I</t>
  </si>
  <si>
    <t>INVESTIGADOR CIENTIFICO II</t>
  </si>
  <si>
    <t>INVESTIGADOR CIENTIFICO III</t>
  </si>
  <si>
    <t>INVESTIGADOR PRINCIPAL</t>
  </si>
  <si>
    <t>INVESTIGADOR SENIOR</t>
  </si>
  <si>
    <t>LIDER DEPARTAMENTAL EXTENSION RURAL</t>
  </si>
  <si>
    <t>LIDER DESARROLLO SOCIAL</t>
  </si>
  <si>
    <t>LIDER EQUIPO PROYECTO</t>
  </si>
  <si>
    <t>LIDER GESTION PROYECTOS</t>
  </si>
  <si>
    <t>LIDER NACIONAL EXTENSION RURAL</t>
  </si>
  <si>
    <t>MECANICO</t>
  </si>
  <si>
    <t>MECANICO I</t>
  </si>
  <si>
    <t>MECANICO II</t>
  </si>
  <si>
    <t>MECANICO III</t>
  </si>
  <si>
    <t>OPERADOR</t>
  </si>
  <si>
    <t>OPERADOR I</t>
  </si>
  <si>
    <t>OPERADOR II</t>
  </si>
  <si>
    <t>OPERADOR III</t>
  </si>
  <si>
    <t>PASANTE</t>
  </si>
  <si>
    <t>PROFESIONAL DESARROLLO SOCIAL</t>
  </si>
  <si>
    <t>PROFESIONAL DISEÑO E IMAGEN</t>
  </si>
  <si>
    <t>PROFESIONAL EN ENTRENAMIENTO</t>
  </si>
  <si>
    <t>PROFESIONAL GESTION HUMANA</t>
  </si>
  <si>
    <t>PROFESIONAL LOGISTICA DISTRIBUCION</t>
  </si>
  <si>
    <t>PROFESIONAL PLANEACION CADENA SUMINISTRO</t>
  </si>
  <si>
    <t>PROFESIONAL PROYECTO</t>
  </si>
  <si>
    <t>PROMOTOR DESARROLLO RURAL</t>
  </si>
  <si>
    <t>RECEPCIONISTA</t>
  </si>
  <si>
    <t>SECRETARIA PRIVADA</t>
  </si>
  <si>
    <t>SECRETARIO GENERAL</t>
  </si>
  <si>
    <t>SUPERVISOR ESCOLTAS</t>
  </si>
  <si>
    <t>SUPERVISOR REPESOS</t>
  </si>
  <si>
    <t>SUPERVISOR SEGURIDAD</t>
  </si>
  <si>
    <t>SUSTITUCION PATRONAL</t>
  </si>
  <si>
    <t>TECNOLOGO ACREEDORES Y DEUDORES</t>
  </si>
  <si>
    <t>TESORERO AUXILIAR</t>
  </si>
  <si>
    <t>TESORERO GENERAL</t>
  </si>
  <si>
    <t>TRABAJADOR AGROPECUARIO</t>
  </si>
  <si>
    <t>TRAMITADOR DOCUMENTOS</t>
  </si>
  <si>
    <t>ACPLAN</t>
  </si>
  <si>
    <t>%</t>
  </si>
  <si>
    <t>ALOJAMIENTO</t>
  </si>
  <si>
    <t>GASTO DE VIAJE</t>
  </si>
  <si>
    <t>DISCIPLINA ESTACION EXPERIMENTAL LA CATALINA</t>
  </si>
  <si>
    <t>3. TACTICO</t>
  </si>
  <si>
    <t>5. OPERATIVO</t>
  </si>
  <si>
    <t>4. FUNCIONAL</t>
  </si>
  <si>
    <t>NO APLICA - OTROS (ESTUDIANTES)</t>
  </si>
  <si>
    <t>2. EJECUTIVO</t>
  </si>
  <si>
    <t>1. ESTRATEGICO</t>
  </si>
  <si>
    <t>NO APLICA - OTRO</t>
  </si>
  <si>
    <t>BUENCAFE_LIOFILIZADO_DE_COLOMBIA</t>
  </si>
  <si>
    <t>COMITE_DEPARTAMENTAL_DE_CAFETEROS_DE_ANTIOQUIA</t>
  </si>
  <si>
    <t>COMITE_DEPARTAMENTAL_DE_CAFETEROS_DE_BOYACA</t>
  </si>
  <si>
    <t>COMITE_DEPARTAMENTAL_DE_CAFETEROS_DE_CALDAS</t>
  </si>
  <si>
    <t>COMITE_DEPARTAMENTAL_DE_CAFETEROS_DE_CAUCA</t>
  </si>
  <si>
    <t>COMITE_DEPARTAMENTAL_DE_CAFETEROS_DE_CESAR_Y_GUAJIRA</t>
  </si>
  <si>
    <t>COMITE_DEPARTAMENTAL_DE_CAFETEROS_DE_CUNDINAMARCA</t>
  </si>
  <si>
    <t>COMITE_DEPARTAMENTAL_DE_CAFETEROS_DE_HUILA</t>
  </si>
  <si>
    <t>COMITE_DEPARTAMENTAL_DE_CAFETEROS_DE_MAGDALENA</t>
  </si>
  <si>
    <t>COMITE_DEPARTAMENTAL_DE_CAFETEROS_DE_NARIÑO</t>
  </si>
  <si>
    <t>COMITE_DEPARTAMENTAL_DE_CAFETEROS_DE_NORTE_DE_SANTANDER</t>
  </si>
  <si>
    <t>COMITE_DEPARTAMENTAL_DE_CAFETEROS_DE_QUINDIO</t>
  </si>
  <si>
    <t>COMITE_DEPARTAMENTAL_DE_CAFETEROS_DE_RISARALDA</t>
  </si>
  <si>
    <t>COMITE_DEPARTAMENTAL_DE_CAFETEROS_DE_SANTANDER</t>
  </si>
  <si>
    <t>COMITE_DEPARTAMENTAL_DE_CAFETEROS_DE_TOLIMA</t>
  </si>
  <si>
    <t>COMITE_DEPARTAMENTAL_DE_CAFETEROS_DE_VALLE</t>
  </si>
  <si>
    <t>INSPECCION_CAFETERA_DE_BUENAVENTURA</t>
  </si>
  <si>
    <t>INSPECCION_CAFETERA_DE_CARTAGENA</t>
  </si>
  <si>
    <t>INSPECCION_CAFETERA_DE_SANTA_MARTA</t>
  </si>
  <si>
    <t>Nombre_Nivel_3</t>
  </si>
  <si>
    <t>CENTRO_NACIONAL_DE_INVESTIGACIONES_DE_CAFE_CENICAFE</t>
  </si>
  <si>
    <t>ABOGADO</t>
  </si>
  <si>
    <t>ADMINISTRADOR</t>
  </si>
  <si>
    <t>ASESOR</t>
  </si>
  <si>
    <t>ASISTENTE</t>
  </si>
  <si>
    <t>AUDITOR</t>
  </si>
  <si>
    <t>AUXILIAR</t>
  </si>
  <si>
    <t>CONTADOR</t>
  </si>
  <si>
    <t>COORDINADOR</t>
  </si>
  <si>
    <t>EJECUTIVO</t>
  </si>
  <si>
    <t>DISEÑADOR</t>
  </si>
  <si>
    <t>ENCARGADO</t>
  </si>
  <si>
    <t>ESPECIALISTA</t>
  </si>
  <si>
    <t>ESTRUCTURADOR</t>
  </si>
  <si>
    <t>GERENTE</t>
  </si>
  <si>
    <t>GESTOR</t>
  </si>
  <si>
    <t>INGENIERO</t>
  </si>
  <si>
    <t>INSPECTOR</t>
  </si>
  <si>
    <t>INVESTIGADOR</t>
  </si>
  <si>
    <t>LIDER</t>
  </si>
  <si>
    <t>PROFESIONAL</t>
  </si>
  <si>
    <t>PROMOTOR</t>
  </si>
  <si>
    <t>SECRETARIA</t>
  </si>
  <si>
    <t>SECRETARIO</t>
  </si>
  <si>
    <t>SUPERVISOR</t>
  </si>
  <si>
    <t>SUSTITUCION</t>
  </si>
  <si>
    <t>TECNOLOGO</t>
  </si>
  <si>
    <t>TESORERO</t>
  </si>
  <si>
    <t>TRAMITADOR</t>
  </si>
  <si>
    <r>
      <t>Nota 3</t>
    </r>
    <r>
      <rPr>
        <sz val="9"/>
        <rFont val="Tahoma"/>
        <family val="2"/>
      </rPr>
      <t>: Tanto el trabajador garantizan con sus firmas la veracidad y la exactitud de los datos y sumas que se legalizan.</t>
    </r>
  </si>
  <si>
    <t>ROM1</t>
  </si>
  <si>
    <t>ROM2</t>
  </si>
  <si>
    <t>ASESOR GENERENCIA GENERAL</t>
  </si>
  <si>
    <t>DIRECTOR GENERAL BUENCAFE</t>
  </si>
  <si>
    <t>GERENTE DE AREA</t>
  </si>
  <si>
    <t>OTROS DIRECTORES</t>
  </si>
  <si>
    <t>INVESTIGADOR CIENTIFICO</t>
  </si>
  <si>
    <t>PROFESIONAL LOGISTICA</t>
  </si>
  <si>
    <t>TECNÓLOGO</t>
  </si>
  <si>
    <t xml:space="preserve">CÉDULA DE IDENTIFICACION DEL TRABAJADOR </t>
  </si>
  <si>
    <t>VALOR DEL ANTICIPO OTORGADO AL TRABAJADOR  USD/COP</t>
  </si>
  <si>
    <t>VR. EN PESOS</t>
  </si>
  <si>
    <t>9.2</t>
  </si>
  <si>
    <t>9.3</t>
  </si>
  <si>
    <t>14.1</t>
  </si>
  <si>
    <t>14.2</t>
  </si>
  <si>
    <t>TASA DE CAMBIO CON LA QUE SE PAGA EL ANTICIPO</t>
  </si>
  <si>
    <t>VALOR EN DOLARES UDS - CON EL QUE SE PAGA EL ANTICIPO</t>
  </si>
  <si>
    <t>VALOR DE LA TARIFA DIARIA ESTABLECIDA CORRESPONDIENTE A LA CLASIFICACION DE CARGOS Y AL DESTINO VISITADO NACIONAL O EXTERIOR</t>
  </si>
  <si>
    <t>AUTOMATICO --&gt; VR. RECONOCIMIENTO GASTOS ALOJAMIENTO</t>
  </si>
  <si>
    <t>AUTOMATICO --&gt; VR. RECONOCIMIENTO GASTOS DE VIAJE</t>
  </si>
  <si>
    <r>
      <t>REGISTRO AUTOMATICO</t>
    </r>
    <r>
      <rPr>
        <sz val="11"/>
        <rFont val="Tahoma"/>
        <family val="2"/>
      </rPr>
      <t xml:space="preserve"> --&gt; INDICA EL VALOR DEL SALDO RESULTANTE</t>
    </r>
  </si>
  <si>
    <t>AUTOMATICO --&gt; CONVERSION A PESOS DEL ANTICIPO ENTREGADO</t>
  </si>
  <si>
    <t>NOMBRE DEL BENEFICIARIO</t>
  </si>
  <si>
    <t>SELECCIONE EL TIPO DE LEGALIZACION: NACIONAL, EXTERIOR, TARJETA PREPAGO, TARJETA AMEX</t>
  </si>
  <si>
    <t xml:space="preserve">FE-GH-F-0162 </t>
  </si>
  <si>
    <t>EXTERIOR EFECTIVO</t>
  </si>
  <si>
    <t>TARJETA DE CRÉDITO</t>
  </si>
  <si>
    <t>|</t>
  </si>
  <si>
    <t>GESTOR PROYECTOS</t>
  </si>
  <si>
    <t>TIPO VEHICULO</t>
  </si>
  <si>
    <t>No del Km</t>
  </si>
  <si>
    <t>SEDE_BOGOTA</t>
  </si>
  <si>
    <t>ALMACENES GENERALES DE DEPÓSITO DE CAFÉ S.A - ALMACAFÉ</t>
  </si>
  <si>
    <t>LOGOFNC</t>
  </si>
  <si>
    <t>LOGOALMACAFE</t>
  </si>
  <si>
    <t>GERENCIA GENERAL / GERENCIA GENERAL</t>
  </si>
  <si>
    <t>GERENCIA GENERAL / SECRETARIA GENERAL</t>
  </si>
  <si>
    <t>GERENCIA GENERAL / ASESORIA ESTRATEGIA E INNOVACION</t>
  </si>
  <si>
    <t>GERENCIA GENERAL / DIRECCION INVESTIGACIONES ECONOMICAS</t>
  </si>
  <si>
    <t>GERENCIA GENERAL / DIRECCION ASUNTOS GREMIALES</t>
  </si>
  <si>
    <t>GERENCIA TECNICA / GERENCIA TECNICA</t>
  </si>
  <si>
    <t>GERENCIA GENERAL / DIRECCION DESARROLLO SOCIAL</t>
  </si>
  <si>
    <t>GERENCIA COMERCIAL / GERENCIA COMERCIAL</t>
  </si>
  <si>
    <t>GERENCIA COMERCIAL / DIRECCION TRANSFORMACION AGREGACION VALOR</t>
  </si>
  <si>
    <t>GERENCIA COMERCIAL / COORDINACION PLANEACION COMERCIAL</t>
  </si>
  <si>
    <t>GERENCIA OPERACIONES / DIRECCION ALIANZAS Y PROYECTOS</t>
  </si>
  <si>
    <t>GERENCIA COMERCIAL / DIRECCION COMPRAS CAFE Y RELACIONES COMERCIALES</t>
  </si>
  <si>
    <t>GERENCIA OPERACIONES / DIRECCION LOGISTICA</t>
  </si>
  <si>
    <t>GERENCIA COMERCIAL / DIRECCION VENTAS CAFE Y RELACIONES COMERCIALES</t>
  </si>
  <si>
    <t>GERENCIA OPERACIONES / DIRECCION DRLLO. COOPERATIVO Y ASOCIATIVO</t>
  </si>
  <si>
    <t>GERENCIA GENERAL / DIRECCION MERCADEO Y RELACIONES PUBLICAS</t>
  </si>
  <si>
    <t>GERENCIA GENERAL / DIRECCION JURIDICA</t>
  </si>
  <si>
    <t>GERENCIA GENERAL / AUDITORIA INTERNA</t>
  </si>
  <si>
    <t>GERENCIA OPERACIONES / DIRECCION RIESGO CORPORATIVO</t>
  </si>
  <si>
    <t>GERENCIA GENERAL / COORDINACION COMUNICACIONES</t>
  </si>
  <si>
    <t>GERENCIA FINANCIERA Y RECURSOS ORG. / DIRECCION GESTION HUMANA</t>
  </si>
  <si>
    <t>GERENCIA FINANCIERA Y RECURSOS ORG. / DIRECCION DESARROLLO ORGANIZACIONAL</t>
  </si>
  <si>
    <t>GERENCIA OPERACIONES / DIRECCION TIC</t>
  </si>
  <si>
    <t>GERENCIA FINANCIERA Y RECURSOS ORG. / COORDINACION BIENES Y SERVICIOS</t>
  </si>
  <si>
    <t>GERENCIA FINANCIERA Y RECURSOS ORG./ COORDINACION COMPRAS</t>
  </si>
  <si>
    <t>GERENCIA OPERACIONES / DIRECCION OF. COORDINADORAS Y TERRITORIOS</t>
  </si>
  <si>
    <t>GERENCIA FINANCIERA Y RECURSOS ORG. / DIRECCION PLANEACION FINANCIERA Y PPTO</t>
  </si>
  <si>
    <t>GERENCIA FINANCIERA Y RECURSOS ORG. / DIRECCION CONTABLE</t>
  </si>
  <si>
    <t>GERENCIA FINANCIERA Y RECURSOS ORG. / COORDINACION TRIBUTARIA</t>
  </si>
  <si>
    <t>GERENCIA FINANCIERA Y RECURSOS ORG. / DIRECCION TESORERIA</t>
  </si>
  <si>
    <t>GERENCIA FINANCIERA Y RECURSOS ORG. / DIRECCION RIESGO FINANCIERO</t>
  </si>
  <si>
    <t>GERENCIA GENERAL / DIRECCION GESTION AMBIENTAL</t>
  </si>
  <si>
    <t>GERENCIA FINANCIERA Y RECURSOS ORG. / GERENCIA FINANCIERA Y RECURSOS ORG.</t>
  </si>
  <si>
    <t>GERENCIA GENERAL / GERENCIA FINANCIERA Y RECURSOS ORG.</t>
  </si>
  <si>
    <t>GERENCIA GENERAL / GERENCIA OPERACIONES</t>
  </si>
  <si>
    <t>SELECCIONE LA EMPRESA POR LA CUAL VA A REALIZAR LA LEGALIZACIÓN</t>
  </si>
  <si>
    <t>TERRITORIOS_CAFETEROS_DE_LA_ORINOQUIA_Y_LA_AMAZONIA</t>
  </si>
  <si>
    <t>DIRECCIÓN TERRS.CAFETS.ORINOQUIA/AMAZONIA</t>
  </si>
  <si>
    <t>DIRECTOR DE PROCESO SEDE BOGOTÁ</t>
  </si>
  <si>
    <t>Versión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</si>
</sst>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[$$-2C0A]#,##0"/>
    <numFmt numFmtId="167" formatCode="yyyy\-mm\-dd"/>
    <numFmt numFmtId="168" formatCode="_(* #,##0_);_(* \(#,##0\);_(* &quot;-&quot;??_);_(@_)"/>
    <numFmt numFmtId="169" formatCode="00"/>
    <numFmt numFmtId="170" formatCode="yyyy\-mm\-dd;@"/>
    <numFmt numFmtId="171" formatCode=";;;"/>
    <numFmt numFmtId="172" formatCode="[$$-4809]#,##0.00"/>
  </numFmts>
  <fonts count="60">
    <font>
      <sz val="10"/>
      <name val="Times New Roman"/>
    </font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b/>
      <sz val="9"/>
      <name val="Tahoma"/>
      <family val="2"/>
    </font>
    <font>
      <sz val="8"/>
      <color indexed="55"/>
      <name val="Tahoma"/>
      <family val="2"/>
    </font>
    <font>
      <sz val="11"/>
      <name val="Tahoma"/>
      <family val="2"/>
    </font>
    <font>
      <b/>
      <sz val="11"/>
      <color indexed="10"/>
      <name val="Tahoma"/>
      <family val="2"/>
    </font>
    <font>
      <b/>
      <sz val="10"/>
      <color indexed="9"/>
      <name val="Tahoma"/>
      <family val="2"/>
    </font>
    <font>
      <sz val="9"/>
      <name val="Tahoma"/>
      <family val="2"/>
    </font>
    <font>
      <b/>
      <sz val="11"/>
      <color indexed="16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b/>
      <sz val="10"/>
      <color indexed="16"/>
      <name val="Tahoma"/>
      <family val="2"/>
    </font>
    <font>
      <b/>
      <sz val="14"/>
      <color indexed="43"/>
      <name val="Tahoma"/>
      <family val="2"/>
    </font>
    <font>
      <b/>
      <sz val="14"/>
      <color indexed="10"/>
      <name val="Tahoma"/>
      <family val="2"/>
    </font>
    <font>
      <u/>
      <sz val="7.5"/>
      <color indexed="12"/>
      <name val="Times New Roman"/>
      <family val="1"/>
    </font>
    <font>
      <b/>
      <u/>
      <sz val="12"/>
      <color indexed="10"/>
      <name val="Tahoma"/>
      <family val="2"/>
    </font>
    <font>
      <sz val="8"/>
      <color indexed="10"/>
      <name val="Tahoma"/>
      <family val="2"/>
    </font>
    <font>
      <sz val="10"/>
      <name val="Tahoma"/>
      <family val="2"/>
    </font>
    <font>
      <sz val="12"/>
      <name val="Tahoma"/>
      <family val="2"/>
    </font>
    <font>
      <b/>
      <sz val="12"/>
      <name val="Tahoma"/>
      <family val="2"/>
    </font>
    <font>
      <b/>
      <sz val="8"/>
      <color indexed="16"/>
      <name val="Tahoma"/>
      <family val="2"/>
    </font>
    <font>
      <b/>
      <u/>
      <sz val="12"/>
      <color indexed="12"/>
      <name val="Times New Roman"/>
      <family val="1"/>
    </font>
    <font>
      <b/>
      <sz val="10"/>
      <color indexed="11"/>
      <name val="Tahoma"/>
      <family val="2"/>
    </font>
    <font>
      <b/>
      <sz val="10"/>
      <color indexed="12"/>
      <name val="Tahoma"/>
      <family val="2"/>
    </font>
    <font>
      <sz val="10"/>
      <name val="A1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7.5"/>
      <color indexed="9"/>
      <name val="Times New Roman"/>
      <family val="1"/>
    </font>
    <font>
      <b/>
      <u/>
      <sz val="9"/>
      <color indexed="9"/>
      <name val="Tahoma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color indexed="12"/>
      <name val="Tahoma"/>
      <family val="2"/>
    </font>
    <font>
      <sz val="10"/>
      <color indexed="9"/>
      <name val="Tahoma"/>
      <family val="2"/>
    </font>
    <font>
      <sz val="7"/>
      <color indexed="9"/>
      <name val="Tahoma"/>
      <family val="2"/>
    </font>
    <font>
      <b/>
      <sz val="10"/>
      <color indexed="18"/>
      <name val="Tahoma"/>
      <family val="2"/>
    </font>
    <font>
      <b/>
      <sz val="10"/>
      <color indexed="23"/>
      <name val="Tahoma"/>
      <family val="2"/>
    </font>
    <font>
      <sz val="10"/>
      <color indexed="23"/>
      <name val="Tahoma"/>
      <family val="2"/>
    </font>
    <font>
      <b/>
      <sz val="10"/>
      <color indexed="22"/>
      <name val="Tahoma"/>
      <family val="2"/>
    </font>
    <font>
      <sz val="10"/>
      <color indexed="22"/>
      <name val="Tahoma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2"/>
      <color indexed="10"/>
      <name val="Tahoma"/>
      <family val="2"/>
    </font>
    <font>
      <b/>
      <sz val="11"/>
      <color indexed="11"/>
      <name val="Tahoma"/>
      <family val="2"/>
    </font>
    <font>
      <b/>
      <sz val="10"/>
      <name val="Times New Roman"/>
      <family val="1"/>
    </font>
    <font>
      <b/>
      <u/>
      <sz val="7.5"/>
      <color indexed="12"/>
      <name val="Times New Roman"/>
      <family val="1"/>
    </font>
    <font>
      <b/>
      <sz val="9"/>
      <color indexed="9"/>
      <name val="Tahoma"/>
      <family val="2"/>
    </font>
    <font>
      <sz val="10"/>
      <name val="Times New Roman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Tahoma"/>
      <family val="2"/>
    </font>
    <font>
      <sz val="10"/>
      <color theme="1"/>
      <name val="Tahoma"/>
    </font>
    <font>
      <sz val="9"/>
      <color theme="1"/>
      <name val="Tahoma"/>
    </font>
    <font>
      <b/>
      <sz val="7"/>
      <color indexed="9"/>
      <name val="Tahoma"/>
      <family val="2"/>
    </font>
  </fonts>
  <fills count="18">
    <fill>
      <patternFill patternType="none"/>
    </fill>
    <fill>
      <patternFill patternType="gray125"/>
    </fill>
    <fill>
      <patternFill patternType="gray125">
        <fgColor indexed="43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lightGray">
        <fgColor indexed="44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</fills>
  <borders count="12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2"/>
      </left>
      <right/>
      <top style="thick">
        <color indexed="62"/>
      </top>
      <bottom/>
      <diagonal/>
    </border>
    <border>
      <left/>
      <right/>
      <top style="thick">
        <color indexed="62"/>
      </top>
      <bottom/>
      <diagonal/>
    </border>
    <border>
      <left/>
      <right style="thick">
        <color indexed="62"/>
      </right>
      <top style="thick">
        <color indexed="62"/>
      </top>
      <bottom/>
      <diagonal/>
    </border>
    <border>
      <left style="thick">
        <color indexed="62"/>
      </left>
      <right/>
      <top/>
      <bottom/>
      <diagonal/>
    </border>
    <border>
      <left/>
      <right style="thick">
        <color indexed="62"/>
      </right>
      <top/>
      <bottom/>
      <diagonal/>
    </border>
    <border>
      <left style="thick">
        <color indexed="62"/>
      </left>
      <right/>
      <top/>
      <bottom style="thick">
        <color indexed="62"/>
      </bottom>
      <diagonal/>
    </border>
    <border>
      <left/>
      <right style="thick">
        <color indexed="62"/>
      </right>
      <top/>
      <bottom style="thick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26"/>
      </right>
      <top style="thin">
        <color indexed="64"/>
      </top>
      <bottom/>
      <diagonal/>
    </border>
    <border>
      <left style="thin">
        <color indexed="26"/>
      </left>
      <right/>
      <top style="thin">
        <color indexed="64"/>
      </top>
      <bottom/>
      <diagonal/>
    </border>
    <border>
      <left style="thin">
        <color indexed="26"/>
      </left>
      <right/>
      <top/>
      <bottom/>
      <diagonal/>
    </border>
    <border>
      <left style="thin">
        <color indexed="26"/>
      </left>
      <right/>
      <top/>
      <bottom style="thin">
        <color indexed="64"/>
      </bottom>
      <diagonal/>
    </border>
    <border>
      <left/>
      <right style="thin">
        <color indexed="26"/>
      </right>
      <top/>
      <bottom/>
      <diagonal/>
    </border>
    <border>
      <left/>
      <right style="thin">
        <color indexed="26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/>
      <top style="thin">
        <color indexed="26"/>
      </top>
      <bottom/>
      <diagonal/>
    </border>
    <border>
      <left/>
      <right style="thin">
        <color indexed="26"/>
      </right>
      <top style="thin">
        <color indexed="26"/>
      </top>
      <bottom/>
      <diagonal/>
    </border>
    <border>
      <left/>
      <right/>
      <top style="thin">
        <color indexed="2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6"/>
      </left>
      <right style="thin">
        <color indexed="26"/>
      </right>
      <top/>
      <bottom style="medium">
        <color indexed="64"/>
      </bottom>
      <diagonal/>
    </border>
    <border>
      <left style="thin">
        <color indexed="26"/>
      </left>
      <right style="thin">
        <color indexed="26"/>
      </right>
      <top/>
      <bottom/>
      <diagonal/>
    </border>
    <border>
      <left style="thin">
        <color indexed="26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26"/>
      </right>
      <top/>
      <bottom style="medium">
        <color indexed="64"/>
      </bottom>
      <diagonal/>
    </border>
    <border>
      <left style="thin">
        <color indexed="26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26"/>
      </right>
      <top/>
      <bottom/>
      <diagonal/>
    </border>
    <border>
      <left style="thin">
        <color indexed="64"/>
      </left>
      <right/>
      <top style="thin">
        <color indexed="26"/>
      </top>
      <bottom style="thin">
        <color indexed="64"/>
      </bottom>
      <diagonal/>
    </border>
    <border>
      <left/>
      <right/>
      <top style="thin">
        <color indexed="26"/>
      </top>
      <bottom style="thin">
        <color indexed="64"/>
      </bottom>
      <diagonal/>
    </border>
    <border>
      <left/>
      <right style="thin">
        <color indexed="26"/>
      </right>
      <top style="thin">
        <color indexed="26"/>
      </top>
      <bottom style="thin">
        <color indexed="64"/>
      </bottom>
      <diagonal/>
    </border>
    <border>
      <left style="thin">
        <color indexed="26"/>
      </left>
      <right/>
      <top style="thin">
        <color indexed="26"/>
      </top>
      <bottom style="thin">
        <color indexed="64"/>
      </bottom>
      <diagonal/>
    </border>
    <border>
      <left/>
      <right style="thin">
        <color indexed="64"/>
      </right>
      <top style="thin">
        <color indexed="26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6"/>
      </bottom>
      <diagonal/>
    </border>
    <border>
      <left/>
      <right/>
      <top/>
      <bottom style="thin">
        <color indexed="26"/>
      </bottom>
      <diagonal/>
    </border>
    <border>
      <left style="thin">
        <color indexed="64"/>
      </left>
      <right style="thin">
        <color indexed="26"/>
      </right>
      <top style="thin">
        <color indexed="26"/>
      </top>
      <bottom style="thin">
        <color indexed="64"/>
      </bottom>
      <diagonal/>
    </border>
    <border>
      <left style="thin">
        <color indexed="64"/>
      </left>
      <right style="thin">
        <color indexed="26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theme="2" tint="-9.9978637043366805E-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26"/>
      </left>
      <right/>
      <top/>
      <bottom style="thin">
        <color theme="2" tint="-9.9978637043366805E-2"/>
      </bottom>
      <diagonal/>
    </border>
    <border>
      <left/>
      <right style="thin">
        <color indexed="26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26"/>
      </right>
      <top/>
      <bottom style="thin">
        <color theme="2" tint="-9.9978637043366805E-2"/>
      </bottom>
      <diagonal/>
    </border>
    <border>
      <left style="thin">
        <color indexed="26"/>
      </left>
      <right style="thin">
        <color indexed="26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26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indexed="26"/>
      </right>
      <top/>
      <bottom/>
      <diagonal/>
    </border>
    <border>
      <left style="thin">
        <color theme="2" tint="-9.9978637043366805E-2"/>
      </left>
      <right style="thin">
        <color indexed="26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26"/>
      </right>
      <top style="medium">
        <color indexed="64"/>
      </top>
      <bottom/>
      <diagonal/>
    </border>
    <border>
      <left style="thin">
        <color indexed="26"/>
      </left>
      <right style="thin">
        <color indexed="26"/>
      </right>
      <top style="medium">
        <color indexed="64"/>
      </top>
      <bottom/>
      <diagonal/>
    </border>
    <border>
      <left style="thin">
        <color indexed="26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indexed="26"/>
      </right>
      <top style="medium">
        <color indexed="64"/>
      </top>
      <bottom/>
      <diagonal/>
    </border>
    <border>
      <left style="thin">
        <color indexed="26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2" tint="-9.9978637043366805E-2"/>
      </bottom>
      <diagonal/>
    </border>
    <border>
      <left/>
      <right style="medium">
        <color indexed="64"/>
      </right>
      <top/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4" fillId="0" borderId="0"/>
    <xf numFmtId="0" fontId="24" fillId="0" borderId="0"/>
    <xf numFmtId="9" fontId="1" fillId="0" borderId="0" applyFont="0" applyFill="0" applyBorder="0" applyAlignment="0" applyProtection="0"/>
  </cellStyleXfs>
  <cellXfs count="551">
    <xf numFmtId="0" fontId="0" fillId="0" borderId="0" xfId="0"/>
    <xf numFmtId="166" fontId="7" fillId="0" borderId="0" xfId="0" applyNumberFormat="1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4" fontId="7" fillId="0" borderId="0" xfId="0" applyNumberFormat="1" applyFont="1" applyAlignment="1" applyProtection="1">
      <alignment horizontal="center" vertical="center" wrapText="1"/>
      <protection hidden="1"/>
    </xf>
    <xf numFmtId="4" fontId="7" fillId="0" borderId="0" xfId="0" applyNumberFormat="1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24" fillId="3" borderId="0" xfId="5" applyFill="1"/>
    <xf numFmtId="0" fontId="24" fillId="4" borderId="0" xfId="5" applyFill="1"/>
    <xf numFmtId="0" fontId="25" fillId="4" borderId="0" xfId="5" applyFont="1" applyFill="1"/>
    <xf numFmtId="0" fontId="26" fillId="4" borderId="0" xfId="5" applyFont="1" applyFill="1" applyAlignment="1">
      <alignment horizontal="center" vertical="center" wrapText="1"/>
    </xf>
    <xf numFmtId="0" fontId="24" fillId="4" borderId="0" xfId="5" quotePrefix="1" applyFill="1" applyAlignment="1">
      <alignment horizontal="right"/>
    </xf>
    <xf numFmtId="0" fontId="24" fillId="3" borderId="0" xfId="5" quotePrefix="1" applyFill="1" applyAlignment="1">
      <alignment horizontal="left"/>
    </xf>
    <xf numFmtId="0" fontId="13" fillId="5" borderId="0" xfId="5" applyFont="1" applyFill="1" applyAlignment="1">
      <alignment horizontal="center"/>
    </xf>
    <xf numFmtId="0" fontId="24" fillId="4" borderId="0" xfId="5" quotePrefix="1" applyFill="1" applyAlignment="1">
      <alignment horizontal="left"/>
    </xf>
    <xf numFmtId="0" fontId="24" fillId="4" borderId="4" xfId="5" quotePrefix="1" applyFill="1" applyBorder="1" applyAlignment="1">
      <alignment horizontal="left"/>
    </xf>
    <xf numFmtId="0" fontId="3" fillId="4" borderId="4" xfId="5" quotePrefix="1" applyFont="1" applyFill="1" applyBorder="1" applyAlignment="1" applyProtection="1">
      <alignment horizontal="left"/>
      <protection hidden="1"/>
    </xf>
    <xf numFmtId="0" fontId="24" fillId="4" borderId="0" xfId="5" applyFill="1" applyProtection="1">
      <protection hidden="1"/>
    </xf>
    <xf numFmtId="167" fontId="3" fillId="4" borderId="4" xfId="5" applyNumberFormat="1" applyFont="1" applyFill="1" applyBorder="1" applyAlignment="1">
      <alignment horizontal="center"/>
    </xf>
    <xf numFmtId="0" fontId="3" fillId="4" borderId="4" xfId="5" applyFont="1" applyFill="1" applyBorder="1" applyAlignment="1">
      <alignment horizontal="center"/>
    </xf>
    <xf numFmtId="0" fontId="4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30" fillId="0" borderId="3" xfId="0" applyFont="1" applyBorder="1" applyAlignment="1" applyProtection="1">
      <alignment horizontal="center"/>
      <protection hidden="1"/>
    </xf>
    <xf numFmtId="0" fontId="30" fillId="0" borderId="5" xfId="0" applyFont="1" applyBorder="1" applyAlignment="1" applyProtection="1">
      <alignment horizontal="center"/>
      <protection hidden="1"/>
    </xf>
    <xf numFmtId="0" fontId="7" fillId="3" borderId="0" xfId="0" applyFont="1" applyFill="1" applyProtection="1">
      <protection hidden="1"/>
    </xf>
    <xf numFmtId="3" fontId="4" fillId="3" borderId="0" xfId="0" applyNumberFormat="1" applyFont="1" applyFill="1" applyProtection="1">
      <protection hidden="1"/>
    </xf>
    <xf numFmtId="0" fontId="2" fillId="3" borderId="0" xfId="0" applyFont="1" applyFill="1" applyProtection="1">
      <protection hidden="1"/>
    </xf>
    <xf numFmtId="0" fontId="3" fillId="3" borderId="0" xfId="0" applyFont="1" applyFill="1" applyProtection="1">
      <protection hidden="1"/>
    </xf>
    <xf numFmtId="0" fontId="4" fillId="3" borderId="0" xfId="0" applyFont="1" applyFill="1" applyAlignment="1" applyProtection="1">
      <alignment horizontal="center" vertical="center"/>
      <protection hidden="1"/>
    </xf>
    <xf numFmtId="0" fontId="4" fillId="4" borderId="0" xfId="0" applyFont="1" applyFill="1" applyProtection="1">
      <protection hidden="1"/>
    </xf>
    <xf numFmtId="0" fontId="4" fillId="3" borderId="0" xfId="0" applyFont="1" applyFill="1" applyAlignment="1" applyProtection="1">
      <alignment horizontal="center" vertical="center" wrapText="1"/>
      <protection hidden="1"/>
    </xf>
    <xf numFmtId="168" fontId="24" fillId="4" borderId="6" xfId="2" applyNumberFormat="1" applyFont="1" applyFill="1" applyBorder="1" applyProtection="1">
      <protection locked="0"/>
    </xf>
    <xf numFmtId="3" fontId="26" fillId="4" borderId="7" xfId="2" applyNumberFormat="1" applyFont="1" applyFill="1" applyBorder="1"/>
    <xf numFmtId="3" fontId="2" fillId="0" borderId="8" xfId="0" applyNumberFormat="1" applyFont="1" applyBorder="1" applyAlignment="1" applyProtection="1">
      <alignment horizontal="center" vertical="center" wrapText="1"/>
      <protection hidden="1"/>
    </xf>
    <xf numFmtId="1" fontId="2" fillId="2" borderId="2" xfId="0" applyNumberFormat="1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Alignment="1" applyProtection="1">
      <alignment horizontal="center"/>
      <protection hidden="1"/>
    </xf>
    <xf numFmtId="3" fontId="11" fillId="3" borderId="0" xfId="0" applyNumberFormat="1" applyFont="1" applyFill="1" applyAlignment="1" applyProtection="1">
      <alignment horizontal="center"/>
      <protection hidden="1"/>
    </xf>
    <xf numFmtId="16" fontId="30" fillId="3" borderId="0" xfId="0" applyNumberFormat="1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vertical="center"/>
      <protection hidden="1"/>
    </xf>
    <xf numFmtId="3" fontId="2" fillId="0" borderId="10" xfId="0" applyNumberFormat="1" applyFont="1" applyBorder="1" applyAlignment="1" applyProtection="1">
      <alignment horizontal="center" vertical="center" wrapText="1"/>
      <protection hidden="1"/>
    </xf>
    <xf numFmtId="3" fontId="7" fillId="0" borderId="12" xfId="0" applyNumberFormat="1" applyFont="1" applyBorder="1" applyAlignment="1" applyProtection="1">
      <alignment vertical="center"/>
      <protection hidden="1"/>
    </xf>
    <xf numFmtId="3" fontId="7" fillId="0" borderId="13" xfId="0" applyNumberFormat="1" applyFont="1" applyBorder="1" applyAlignment="1" applyProtection="1">
      <alignment vertical="center"/>
      <protection hidden="1"/>
    </xf>
    <xf numFmtId="3" fontId="7" fillId="0" borderId="14" xfId="0" applyNumberFormat="1" applyFont="1" applyBorder="1" applyAlignment="1" applyProtection="1">
      <alignment vertical="center"/>
      <protection hidden="1"/>
    </xf>
    <xf numFmtId="3" fontId="7" fillId="0" borderId="0" xfId="0" applyNumberFormat="1" applyFont="1" applyAlignment="1" applyProtection="1">
      <alignment vertical="center"/>
      <protection hidden="1"/>
    </xf>
    <xf numFmtId="3" fontId="3" fillId="0" borderId="0" xfId="0" applyNumberFormat="1" applyFont="1" applyAlignment="1" applyProtection="1">
      <alignment horizontal="center" vertical="center" wrapText="1"/>
      <protection hidden="1"/>
    </xf>
    <xf numFmtId="0" fontId="16" fillId="5" borderId="12" xfId="0" applyFont="1" applyFill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3" fillId="0" borderId="0" xfId="0" applyFont="1"/>
    <xf numFmtId="0" fontId="3" fillId="7" borderId="0" xfId="0" applyFont="1" applyFill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3" fillId="7" borderId="0" xfId="0" applyFont="1" applyFill="1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2" fillId="0" borderId="15" xfId="0" applyFont="1" applyBorder="1"/>
    <xf numFmtId="0" fontId="4" fillId="0" borderId="15" xfId="0" applyFont="1" applyBorder="1"/>
    <xf numFmtId="0" fontId="42" fillId="0" borderId="0" xfId="0" applyFont="1" applyAlignment="1">
      <alignment horizontal="center"/>
    </xf>
    <xf numFmtId="0" fontId="43" fillId="0" borderId="15" xfId="0" applyFont="1" applyBorder="1"/>
    <xf numFmtId="0" fontId="43" fillId="0" borderId="0" xfId="0" applyFont="1"/>
    <xf numFmtId="0" fontId="41" fillId="8" borderId="16" xfId="0" applyFont="1" applyFill="1" applyBorder="1" applyAlignment="1">
      <alignment horizontal="center"/>
    </xf>
    <xf numFmtId="0" fontId="5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4" fillId="0" borderId="0" xfId="0" quotePrefix="1" applyFont="1" applyAlignment="1" applyProtection="1">
      <alignment horizontal="center" vertical="top" wrapText="1"/>
      <protection hidden="1"/>
    </xf>
    <xf numFmtId="0" fontId="4" fillId="0" borderId="0" xfId="0" quotePrefix="1" applyFont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3" fontId="36" fillId="0" borderId="17" xfId="0" applyNumberFormat="1" applyFont="1" applyBorder="1" applyAlignment="1" applyProtection="1">
      <alignment horizontal="center" wrapText="1"/>
      <protection hidden="1"/>
    </xf>
    <xf numFmtId="3" fontId="36" fillId="0" borderId="18" xfId="0" applyNumberFormat="1" applyFont="1" applyBorder="1" applyAlignment="1" applyProtection="1">
      <alignment horizontal="center" wrapText="1"/>
      <protection hidden="1"/>
    </xf>
    <xf numFmtId="22" fontId="4" fillId="3" borderId="0" xfId="0" applyNumberFormat="1" applyFont="1" applyFill="1" applyProtection="1">
      <protection hidden="1"/>
    </xf>
    <xf numFmtId="3" fontId="36" fillId="0" borderId="19" xfId="0" applyNumberFormat="1" applyFont="1" applyBorder="1" applyAlignment="1" applyProtection="1">
      <alignment horizontal="center" wrapText="1"/>
      <protection hidden="1"/>
    </xf>
    <xf numFmtId="3" fontId="36" fillId="0" borderId="20" xfId="0" applyNumberFormat="1" applyFont="1" applyBorder="1" applyAlignment="1" applyProtection="1">
      <alignment horizontal="center" wrapText="1"/>
      <protection hidden="1"/>
    </xf>
    <xf numFmtId="0" fontId="4" fillId="0" borderId="0" xfId="0" applyFont="1" applyAlignment="1" applyProtection="1">
      <alignment vertical="top" wrapText="1"/>
      <protection hidden="1"/>
    </xf>
    <xf numFmtId="0" fontId="7" fillId="0" borderId="0" xfId="0" applyFont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2" fillId="4" borderId="0" xfId="0" applyFont="1" applyFill="1" applyProtection="1">
      <protection hidden="1"/>
    </xf>
    <xf numFmtId="0" fontId="3" fillId="4" borderId="0" xfId="0" applyFont="1" applyFill="1" applyProtection="1"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hidden="1"/>
    </xf>
    <xf numFmtId="3" fontId="4" fillId="0" borderId="0" xfId="0" applyNumberFormat="1" applyFont="1" applyProtection="1">
      <protection hidden="1"/>
    </xf>
    <xf numFmtId="0" fontId="17" fillId="5" borderId="21" xfId="0" quotePrefix="1" applyFont="1" applyFill="1" applyBorder="1" applyAlignment="1" applyProtection="1">
      <alignment horizontal="center" vertical="center"/>
      <protection hidden="1"/>
    </xf>
    <xf numFmtId="0" fontId="16" fillId="4" borderId="0" xfId="0" applyFont="1" applyFill="1" applyAlignment="1" applyProtection="1">
      <alignment horizontal="center" vertical="center"/>
      <protection hidden="1"/>
    </xf>
    <xf numFmtId="0" fontId="17" fillId="4" borderId="0" xfId="0" applyFont="1" applyFill="1" applyAlignment="1" applyProtection="1">
      <alignment horizontal="center" vertical="center"/>
      <protection hidden="1"/>
    </xf>
    <xf numFmtId="3" fontId="7" fillId="4" borderId="0" xfId="0" applyNumberFormat="1" applyFont="1" applyFill="1" applyAlignment="1" applyProtection="1">
      <alignment horizontal="center" vertical="center"/>
      <protection hidden="1"/>
    </xf>
    <xf numFmtId="3" fontId="7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wrapText="1"/>
      <protection hidden="1"/>
    </xf>
    <xf numFmtId="4" fontId="4" fillId="0" borderId="0" xfId="0" applyNumberFormat="1" applyFont="1" applyAlignment="1" applyProtection="1">
      <alignment horizontal="center" vertical="center" wrapText="1"/>
      <protection hidden="1"/>
    </xf>
    <xf numFmtId="4" fontId="7" fillId="0" borderId="0" xfId="0" applyNumberFormat="1" applyFont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horizontal="center" vertical="center"/>
      <protection hidden="1"/>
    </xf>
    <xf numFmtId="4" fontId="7" fillId="0" borderId="0" xfId="0" applyNumberFormat="1" applyFont="1" applyAlignment="1" applyProtection="1">
      <alignment horizontal="center"/>
      <protection hidden="1"/>
    </xf>
    <xf numFmtId="4" fontId="4" fillId="0" borderId="0" xfId="0" applyNumberFormat="1" applyFont="1" applyAlignment="1" applyProtection="1">
      <alignment wrapText="1"/>
      <protection hidden="1"/>
    </xf>
    <xf numFmtId="4" fontId="4" fillId="0" borderId="0" xfId="0" applyNumberFormat="1" applyFont="1" applyAlignment="1" applyProtection="1">
      <alignment horizontal="center"/>
      <protection hidden="1"/>
    </xf>
    <xf numFmtId="0" fontId="7" fillId="0" borderId="14" xfId="0" applyFont="1" applyBorder="1" applyAlignment="1" applyProtection="1">
      <alignment vertical="center"/>
      <protection hidden="1"/>
    </xf>
    <xf numFmtId="0" fontId="7" fillId="4" borderId="0" xfId="0" applyFont="1" applyFill="1" applyAlignment="1" applyProtection="1">
      <alignment vertical="center"/>
      <protection hidden="1"/>
    </xf>
    <xf numFmtId="0" fontId="4" fillId="0" borderId="22" xfId="0" quotePrefix="1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4" fillId="4" borderId="22" xfId="0" quotePrefix="1" applyFont="1" applyFill="1" applyBorder="1" applyProtection="1">
      <protection hidden="1"/>
    </xf>
    <xf numFmtId="0" fontId="4" fillId="4" borderId="4" xfId="0" quotePrefix="1" applyFont="1" applyFill="1" applyBorder="1" applyProtection="1">
      <protection hidden="1"/>
    </xf>
    <xf numFmtId="0" fontId="4" fillId="4" borderId="23" xfId="0" quotePrefix="1" applyFont="1" applyFill="1" applyBorder="1" applyProtection="1">
      <protection hidden="1"/>
    </xf>
    <xf numFmtId="0" fontId="4" fillId="0" borderId="14" xfId="0" applyFont="1" applyBorder="1" applyProtection="1">
      <protection hidden="1"/>
    </xf>
    <xf numFmtId="0" fontId="4" fillId="4" borderId="14" xfId="0" applyFont="1" applyFill="1" applyBorder="1" applyProtection="1">
      <protection hidden="1"/>
    </xf>
    <xf numFmtId="0" fontId="4" fillId="0" borderId="23" xfId="0" applyFont="1" applyBorder="1" applyProtection="1">
      <protection hidden="1"/>
    </xf>
    <xf numFmtId="0" fontId="4" fillId="0" borderId="0" xfId="0" applyFont="1" applyAlignment="1" applyProtection="1">
      <alignment vertical="top"/>
      <protection hidden="1"/>
    </xf>
    <xf numFmtId="0" fontId="4" fillId="0" borderId="24" xfId="0" applyFont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4" borderId="24" xfId="0" applyFont="1" applyFill="1" applyBorder="1" applyProtection="1">
      <protection hidden="1"/>
    </xf>
    <xf numFmtId="0" fontId="4" fillId="4" borderId="21" xfId="0" applyFont="1" applyFill="1" applyBorder="1" applyProtection="1">
      <protection hidden="1"/>
    </xf>
    <xf numFmtId="0" fontId="4" fillId="0" borderId="21" xfId="0" applyFont="1" applyBorder="1" applyAlignment="1" applyProtection="1">
      <alignment vertical="top"/>
      <protection hidden="1"/>
    </xf>
    <xf numFmtId="0" fontId="4" fillId="0" borderId="20" xfId="0" applyFont="1" applyBorder="1" applyProtection="1">
      <protection hidden="1"/>
    </xf>
    <xf numFmtId="0" fontId="10" fillId="0" borderId="0" xfId="0" applyFont="1" applyProtection="1">
      <protection hidden="1"/>
    </xf>
    <xf numFmtId="0" fontId="4" fillId="4" borderId="25" xfId="0" applyFont="1" applyFill="1" applyBorder="1" applyProtection="1">
      <protection hidden="1"/>
    </xf>
    <xf numFmtId="0" fontId="4" fillId="4" borderId="26" xfId="0" applyFont="1" applyFill="1" applyBorder="1" applyProtection="1">
      <protection hidden="1"/>
    </xf>
    <xf numFmtId="0" fontId="4" fillId="4" borderId="27" xfId="0" applyFont="1" applyFill="1" applyBorder="1" applyProtection="1">
      <protection hidden="1"/>
    </xf>
    <xf numFmtId="0" fontId="5" fillId="4" borderId="28" xfId="0" applyFont="1" applyFill="1" applyBorder="1" applyProtection="1">
      <protection hidden="1"/>
    </xf>
    <xf numFmtId="0" fontId="20" fillId="4" borderId="0" xfId="0" applyFont="1" applyFill="1" applyProtection="1">
      <protection hidden="1"/>
    </xf>
    <xf numFmtId="0" fontId="5" fillId="4" borderId="0" xfId="0" applyFont="1" applyFill="1" applyProtection="1">
      <protection hidden="1"/>
    </xf>
    <xf numFmtId="0" fontId="4" fillId="4" borderId="29" xfId="0" applyFont="1" applyFill="1" applyBorder="1" applyProtection="1">
      <protection hidden="1"/>
    </xf>
    <xf numFmtId="0" fontId="2" fillId="4" borderId="28" xfId="0" applyFont="1" applyFill="1" applyBorder="1" applyProtection="1">
      <protection hidden="1"/>
    </xf>
    <xf numFmtId="0" fontId="8" fillId="3" borderId="0" xfId="0" applyFont="1" applyFill="1" applyAlignment="1" applyProtection="1">
      <alignment horizontal="left"/>
      <protection hidden="1"/>
    </xf>
    <xf numFmtId="0" fontId="3" fillId="9" borderId="28" xfId="0" applyFont="1" applyFill="1" applyBorder="1" applyAlignment="1" applyProtection="1">
      <alignment horizontal="right" vertical="center"/>
      <protection hidden="1"/>
    </xf>
    <xf numFmtId="0" fontId="11" fillId="4" borderId="0" xfId="0" applyFont="1" applyFill="1" applyAlignment="1" applyProtection="1">
      <alignment horizontal="left" vertical="center"/>
      <protection hidden="1"/>
    </xf>
    <xf numFmtId="0" fontId="3" fillId="4" borderId="28" xfId="0" applyFont="1" applyFill="1" applyBorder="1" applyAlignment="1" applyProtection="1">
      <alignment horizontal="right" vertical="center"/>
      <protection hidden="1"/>
    </xf>
    <xf numFmtId="0" fontId="11" fillId="4" borderId="0" xfId="0" applyFont="1" applyFill="1" applyAlignment="1" applyProtection="1">
      <alignment horizontal="left"/>
      <protection hidden="1"/>
    </xf>
    <xf numFmtId="0" fontId="12" fillId="4" borderId="0" xfId="0" applyFont="1" applyFill="1" applyAlignment="1" applyProtection="1">
      <alignment horizontal="left"/>
      <protection hidden="1"/>
    </xf>
    <xf numFmtId="0" fontId="8" fillId="4" borderId="0" xfId="0" applyFont="1" applyFill="1" applyAlignment="1" applyProtection="1">
      <alignment horizontal="left"/>
      <protection hidden="1"/>
    </xf>
    <xf numFmtId="0" fontId="9" fillId="4" borderId="0" xfId="0" applyFont="1" applyFill="1" applyProtection="1">
      <protection hidden="1"/>
    </xf>
    <xf numFmtId="0" fontId="4" fillId="4" borderId="28" xfId="0" applyFont="1" applyFill="1" applyBorder="1" applyProtection="1">
      <protection hidden="1"/>
    </xf>
    <xf numFmtId="0" fontId="23" fillId="4" borderId="28" xfId="0" applyFont="1" applyFill="1" applyBorder="1" applyProtection="1">
      <protection hidden="1"/>
    </xf>
    <xf numFmtId="0" fontId="4" fillId="4" borderId="30" xfId="0" applyFont="1" applyFill="1" applyBorder="1" applyProtection="1">
      <protection hidden="1"/>
    </xf>
    <xf numFmtId="0" fontId="4" fillId="4" borderId="1" xfId="0" applyFont="1" applyFill="1" applyBorder="1" applyProtection="1">
      <protection hidden="1"/>
    </xf>
    <xf numFmtId="0" fontId="4" fillId="4" borderId="31" xfId="0" applyFont="1" applyFill="1" applyBorder="1" applyProtection="1">
      <protection hidden="1"/>
    </xf>
    <xf numFmtId="0" fontId="38" fillId="3" borderId="0" xfId="0" applyFont="1" applyFill="1" applyProtection="1">
      <protection hidden="1"/>
    </xf>
    <xf numFmtId="3" fontId="36" fillId="3" borderId="0" xfId="0" applyNumberFormat="1" applyFont="1" applyFill="1" applyAlignment="1" applyProtection="1">
      <alignment horizontal="center" wrapText="1"/>
      <protection hidden="1"/>
    </xf>
    <xf numFmtId="0" fontId="42" fillId="0" borderId="0" xfId="0" applyFont="1" applyAlignment="1">
      <alignment horizontal="center" vertical="top" wrapText="1"/>
    </xf>
    <xf numFmtId="0" fontId="43" fillId="0" borderId="0" xfId="0" applyFont="1" applyAlignment="1">
      <alignment horizontal="left" vertical="top" wrapText="1"/>
    </xf>
    <xf numFmtId="0" fontId="44" fillId="0" borderId="0" xfId="0" applyFont="1"/>
    <xf numFmtId="0" fontId="44" fillId="0" borderId="0" xfId="0" applyFont="1" applyProtection="1">
      <protection hidden="1"/>
    </xf>
    <xf numFmtId="0" fontId="44" fillId="0" borderId="0" xfId="0" applyFont="1" applyAlignment="1" applyProtection="1">
      <alignment horizontal="center"/>
      <protection hidden="1"/>
    </xf>
    <xf numFmtId="16" fontId="44" fillId="0" borderId="0" xfId="0" applyNumberFormat="1" applyFont="1" applyAlignment="1" applyProtection="1">
      <alignment horizontal="center"/>
      <protection hidden="1"/>
    </xf>
    <xf numFmtId="0" fontId="45" fillId="0" borderId="0" xfId="0" applyFont="1" applyProtection="1">
      <protection hidden="1"/>
    </xf>
    <xf numFmtId="3" fontId="45" fillId="0" borderId="32" xfId="0" applyNumberFormat="1" applyFont="1" applyBorder="1" applyAlignment="1">
      <alignment horizontal="center" wrapText="1"/>
    </xf>
    <xf numFmtId="0" fontId="45" fillId="0" borderId="0" xfId="0" applyFont="1"/>
    <xf numFmtId="168" fontId="2" fillId="0" borderId="0" xfId="2" applyNumberFormat="1" applyFont="1" applyFill="1"/>
    <xf numFmtId="0" fontId="12" fillId="4" borderId="0" xfId="0" applyFont="1" applyFill="1" applyAlignment="1" applyProtection="1">
      <alignment horizontal="left" vertical="center"/>
      <protection hidden="1"/>
    </xf>
    <xf numFmtId="0" fontId="56" fillId="14" borderId="0" xfId="0" applyFont="1" applyFill="1" applyProtection="1"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quotePrefix="1" applyFont="1" applyAlignment="1" applyProtection="1">
      <alignment horizontal="center" vertical="center"/>
      <protection hidden="1"/>
    </xf>
    <xf numFmtId="0" fontId="48" fillId="3" borderId="0" xfId="1" applyFont="1" applyFill="1" applyBorder="1" applyAlignment="1" applyProtection="1">
      <alignment horizontal="left"/>
      <protection hidden="1"/>
    </xf>
    <xf numFmtId="0" fontId="24" fillId="4" borderId="3" xfId="5" applyFill="1" applyBorder="1" applyProtection="1">
      <protection locked="0"/>
    </xf>
    <xf numFmtId="0" fontId="13" fillId="5" borderId="3" xfId="5" applyFont="1" applyFill="1" applyBorder="1" applyAlignment="1">
      <alignment horizontal="center"/>
    </xf>
    <xf numFmtId="14" fontId="24" fillId="4" borderId="3" xfId="5" applyNumberFormat="1" applyFill="1" applyBorder="1" applyProtection="1">
      <protection locked="0"/>
    </xf>
    <xf numFmtId="0" fontId="2" fillId="4" borderId="3" xfId="5" applyFont="1" applyFill="1" applyBorder="1" applyProtection="1">
      <protection locked="0"/>
    </xf>
    <xf numFmtId="0" fontId="47" fillId="4" borderId="0" xfId="0" applyFont="1" applyFill="1" applyAlignment="1" applyProtection="1">
      <alignment vertical="center"/>
      <protection hidden="1"/>
    </xf>
    <xf numFmtId="0" fontId="47" fillId="4" borderId="4" xfId="0" applyFont="1" applyFill="1" applyBorder="1" applyAlignment="1" applyProtection="1">
      <alignment vertical="center"/>
      <protection hidden="1"/>
    </xf>
    <xf numFmtId="168" fontId="2" fillId="0" borderId="0" xfId="2" applyNumberFormat="1" applyFont="1"/>
    <xf numFmtId="0" fontId="2" fillId="4" borderId="0" xfId="5" applyFont="1" applyFill="1"/>
    <xf numFmtId="0" fontId="2" fillId="4" borderId="0" xfId="5" quotePrefix="1" applyFont="1" applyFill="1" applyAlignment="1">
      <alignment horizontal="left"/>
    </xf>
    <xf numFmtId="0" fontId="13" fillId="5" borderId="9" xfId="5" applyFont="1" applyFill="1" applyBorder="1"/>
    <xf numFmtId="4" fontId="2" fillId="4" borderId="2" xfId="5" applyNumberFormat="1" applyFont="1" applyFill="1" applyBorder="1" applyProtection="1">
      <protection locked="0"/>
    </xf>
    <xf numFmtId="0" fontId="13" fillId="5" borderId="12" xfId="0" applyFont="1" applyFill="1" applyBorder="1" applyAlignment="1" applyProtection="1">
      <alignment horizontal="center" vertical="center" wrapText="1"/>
      <protection hidden="1"/>
    </xf>
    <xf numFmtId="0" fontId="13" fillId="5" borderId="0" xfId="0" applyFont="1" applyFill="1" applyAlignment="1" applyProtection="1">
      <alignment horizontal="center" vertical="center" wrapText="1"/>
      <protection hidden="1"/>
    </xf>
    <xf numFmtId="171" fontId="4" fillId="3" borderId="0" xfId="0" applyNumberFormat="1" applyFont="1" applyFill="1" applyProtection="1">
      <protection hidden="1"/>
    </xf>
    <xf numFmtId="3" fontId="2" fillId="6" borderId="8" xfId="2" applyNumberFormat="1" applyFont="1" applyFill="1" applyBorder="1" applyAlignment="1" applyProtection="1">
      <alignment horizontal="center" vertical="center" wrapText="1"/>
      <protection locked="0"/>
    </xf>
    <xf numFmtId="3" fontId="2" fillId="6" borderId="34" xfId="2" applyNumberFormat="1" applyFont="1" applyFill="1" applyBorder="1" applyAlignment="1" applyProtection="1">
      <alignment horizontal="center" vertical="center" wrapText="1"/>
      <protection locked="0"/>
    </xf>
    <xf numFmtId="4" fontId="3" fillId="0" borderId="8" xfId="0" applyNumberFormat="1" applyFont="1" applyBorder="1" applyAlignment="1" applyProtection="1">
      <alignment vertical="center"/>
      <protection hidden="1"/>
    </xf>
    <xf numFmtId="4" fontId="3" fillId="0" borderId="33" xfId="0" applyNumberFormat="1" applyFont="1" applyBorder="1" applyAlignment="1" applyProtection="1">
      <alignment vertical="center"/>
      <protection hidden="1"/>
    </xf>
    <xf numFmtId="0" fontId="55" fillId="0" borderId="0" xfId="0" applyFont="1"/>
    <xf numFmtId="0" fontId="7" fillId="0" borderId="15" xfId="0" applyFont="1" applyBorder="1"/>
    <xf numFmtId="168" fontId="2" fillId="6" borderId="3" xfId="2" applyNumberFormat="1" applyFont="1" applyFill="1" applyBorder="1" applyAlignment="1" applyProtection="1">
      <alignment horizontal="center" vertical="center"/>
      <protection locked="0"/>
    </xf>
    <xf numFmtId="1" fontId="2" fillId="6" borderId="3" xfId="0" applyNumberFormat="1" applyFont="1" applyFill="1" applyBorder="1" applyAlignment="1" applyProtection="1">
      <alignment horizontal="center" vertical="center"/>
      <protection locked="0"/>
    </xf>
    <xf numFmtId="0" fontId="2" fillId="6" borderId="3" xfId="0" applyFont="1" applyFill="1" applyBorder="1" applyAlignment="1" applyProtection="1">
      <alignment vertical="center" wrapText="1"/>
      <protection locked="0"/>
    </xf>
    <xf numFmtId="1" fontId="3" fillId="6" borderId="8" xfId="0" applyNumberFormat="1" applyFont="1" applyFill="1" applyBorder="1" applyAlignment="1" applyProtection="1">
      <alignment horizontal="center" vertical="center"/>
      <protection hidden="1"/>
    </xf>
    <xf numFmtId="3" fontId="2" fillId="6" borderId="3" xfId="2" applyNumberFormat="1" applyFont="1" applyFill="1" applyBorder="1" applyAlignment="1" applyProtection="1">
      <alignment horizontal="center" vertical="center" wrapText="1"/>
      <protection locked="0"/>
    </xf>
    <xf numFmtId="9" fontId="4" fillId="0" borderId="8" xfId="6" applyFont="1" applyFill="1" applyBorder="1" applyAlignment="1" applyProtection="1">
      <alignment horizontal="center" vertical="center" wrapText="1"/>
      <protection hidden="1"/>
    </xf>
    <xf numFmtId="164" fontId="2" fillId="0" borderId="3" xfId="3" applyFont="1" applyFill="1" applyBorder="1" applyAlignment="1" applyProtection="1">
      <alignment vertical="center" wrapText="1"/>
      <protection hidden="1"/>
    </xf>
    <xf numFmtId="164" fontId="2" fillId="0" borderId="34" xfId="3" applyFont="1" applyFill="1" applyBorder="1" applyAlignment="1" applyProtection="1">
      <alignment vertical="center" wrapText="1"/>
      <protection hidden="1"/>
    </xf>
    <xf numFmtId="0" fontId="46" fillId="0" borderId="0" xfId="0" applyFont="1"/>
    <xf numFmtId="0" fontId="50" fillId="0" borderId="0" xfId="0" applyFont="1"/>
    <xf numFmtId="0" fontId="0" fillId="15" borderId="0" xfId="0" applyFill="1"/>
    <xf numFmtId="0" fontId="0" fillId="16" borderId="0" xfId="0" applyFill="1"/>
    <xf numFmtId="4" fontId="3" fillId="4" borderId="38" xfId="5" applyNumberFormat="1" applyFont="1" applyFill="1" applyBorder="1" applyProtection="1">
      <protection hidden="1"/>
    </xf>
    <xf numFmtId="0" fontId="16" fillId="5" borderId="82" xfId="0" applyFont="1" applyFill="1" applyBorder="1" applyAlignment="1" applyProtection="1">
      <alignment horizontal="center" vertical="center"/>
      <protection hidden="1"/>
    </xf>
    <xf numFmtId="0" fontId="16" fillId="5" borderId="82" xfId="0" applyFont="1" applyFill="1" applyBorder="1" applyAlignment="1" applyProtection="1">
      <alignment horizontal="center" vertical="center" wrapText="1"/>
      <protection hidden="1"/>
    </xf>
    <xf numFmtId="0" fontId="8" fillId="4" borderId="0" xfId="0" applyFont="1" applyFill="1" applyAlignment="1" applyProtection="1">
      <alignment horizontal="left" vertical="center"/>
      <protection hidden="1"/>
    </xf>
    <xf numFmtId="171" fontId="4" fillId="0" borderId="0" xfId="0" applyNumberFormat="1" applyFont="1" applyProtection="1">
      <protection hidden="1"/>
    </xf>
    <xf numFmtId="0" fontId="54" fillId="0" borderId="0" xfId="0" applyFont="1"/>
    <xf numFmtId="0" fontId="11" fillId="4" borderId="0" xfId="0" quotePrefix="1" applyFont="1" applyFill="1" applyAlignment="1" applyProtection="1">
      <alignment vertical="center" wrapText="1"/>
      <protection hidden="1"/>
    </xf>
    <xf numFmtId="0" fontId="11" fillId="4" borderId="29" xfId="0" quotePrefix="1" applyFont="1" applyFill="1" applyBorder="1" applyAlignment="1" applyProtection="1">
      <alignment vertical="center" wrapText="1"/>
      <protection hidden="1"/>
    </xf>
    <xf numFmtId="3" fontId="2" fillId="6" borderId="50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34" xfId="0" applyNumberFormat="1" applyFont="1" applyFill="1" applyBorder="1" applyAlignment="1" applyProtection="1">
      <alignment horizontal="center" vertical="center" wrapText="1"/>
      <protection locked="0"/>
    </xf>
    <xf numFmtId="14" fontId="24" fillId="4" borderId="8" xfId="5" applyNumberFormat="1" applyFill="1" applyBorder="1" applyAlignment="1" applyProtection="1">
      <alignment horizontal="center"/>
      <protection locked="0"/>
    </xf>
    <xf numFmtId="14" fontId="24" fillId="4" borderId="34" xfId="5" applyNumberFormat="1" applyFill="1" applyBorder="1" applyAlignment="1" applyProtection="1">
      <alignment horizontal="center"/>
      <protection locked="0"/>
    </xf>
    <xf numFmtId="0" fontId="24" fillId="4" borderId="4" xfId="5" applyFill="1" applyBorder="1" applyAlignment="1" applyProtection="1">
      <alignment horizontal="center"/>
      <protection locked="0"/>
    </xf>
    <xf numFmtId="0" fontId="24" fillId="4" borderId="35" xfId="5" applyFill="1" applyBorder="1" applyAlignment="1" applyProtection="1">
      <alignment horizontal="center"/>
      <protection locked="0"/>
    </xf>
    <xf numFmtId="0" fontId="29" fillId="11" borderId="36" xfId="0" applyFont="1" applyFill="1" applyBorder="1" applyProtection="1">
      <protection hidden="1"/>
    </xf>
    <xf numFmtId="0" fontId="29" fillId="11" borderId="0" xfId="0" applyFont="1" applyFill="1" applyProtection="1">
      <protection hidden="1"/>
    </xf>
    <xf numFmtId="0" fontId="3" fillId="4" borderId="8" xfId="0" applyFont="1" applyFill="1" applyBorder="1" applyAlignment="1" applyProtection="1">
      <alignment vertical="center"/>
      <protection hidden="1"/>
    </xf>
    <xf numFmtId="0" fontId="3" fillId="4" borderId="33" xfId="0" applyFont="1" applyFill="1" applyBorder="1" applyAlignment="1" applyProtection="1">
      <alignment vertical="center"/>
      <protection hidden="1"/>
    </xf>
    <xf numFmtId="0" fontId="19" fillId="5" borderId="28" xfId="0" applyFont="1" applyFill="1" applyBorder="1" applyProtection="1">
      <protection hidden="1"/>
    </xf>
    <xf numFmtId="0" fontId="19" fillId="5" borderId="0" xfId="0" applyFont="1" applyFill="1" applyProtection="1">
      <protection hidden="1"/>
    </xf>
    <xf numFmtId="0" fontId="19" fillId="5" borderId="29" xfId="0" applyFont="1" applyFill="1" applyBorder="1" applyProtection="1">
      <protection hidden="1"/>
    </xf>
    <xf numFmtId="0" fontId="22" fillId="8" borderId="0" xfId="1" applyFont="1" applyFill="1" applyBorder="1" applyAlignment="1" applyProtection="1">
      <protection hidden="1"/>
    </xf>
    <xf numFmtId="172" fontId="4" fillId="0" borderId="0" xfId="0" applyNumberFormat="1" applyFont="1" applyProtection="1">
      <protection hidden="1"/>
    </xf>
    <xf numFmtId="0" fontId="59" fillId="5" borderId="85" xfId="0" applyFont="1" applyFill="1" applyBorder="1" applyAlignment="1" applyProtection="1">
      <alignment horizontal="center" vertical="center" wrapText="1"/>
      <protection hidden="1"/>
    </xf>
    <xf numFmtId="2" fontId="2" fillId="3" borderId="0" xfId="0" applyNumberFormat="1" applyFont="1" applyFill="1" applyProtection="1">
      <protection hidden="1"/>
    </xf>
    <xf numFmtId="0" fontId="47" fillId="4" borderId="12" xfId="0" applyFont="1" applyFill="1" applyBorder="1" applyAlignment="1" applyProtection="1">
      <alignment vertical="center"/>
      <protection hidden="1"/>
    </xf>
    <xf numFmtId="0" fontId="0" fillId="0" borderId="3" xfId="0" applyBorder="1"/>
    <xf numFmtId="49" fontId="0" fillId="0" borderId="0" xfId="0" applyNumberFormat="1"/>
    <xf numFmtId="1" fontId="3" fillId="2" borderId="9" xfId="0" applyNumberFormat="1" applyFont="1" applyFill="1" applyBorder="1" applyAlignment="1" applyProtection="1">
      <alignment horizontal="center" vertical="center"/>
      <protection locked="0"/>
    </xf>
    <xf numFmtId="3" fontId="2" fillId="0" borderId="55" xfId="0" applyNumberFormat="1" applyFont="1" applyBorder="1" applyAlignment="1" applyProtection="1">
      <alignment horizontal="center" vertical="center" wrapText="1"/>
      <protection hidden="1"/>
    </xf>
    <xf numFmtId="9" fontId="4" fillId="0" borderId="55" xfId="6" applyFont="1" applyFill="1" applyBorder="1" applyAlignment="1" applyProtection="1">
      <alignment horizontal="center" vertical="center" wrapText="1"/>
      <protection hidden="1"/>
    </xf>
    <xf numFmtId="164" fontId="2" fillId="0" borderId="45" xfId="3" applyFont="1" applyFill="1" applyBorder="1" applyAlignment="1" applyProtection="1">
      <alignment vertical="center" wrapText="1"/>
      <protection hidden="1"/>
    </xf>
    <xf numFmtId="164" fontId="2" fillId="0" borderId="56" xfId="3" applyFont="1" applyFill="1" applyBorder="1" applyAlignment="1" applyProtection="1">
      <alignment vertical="center" wrapText="1"/>
      <protection hidden="1"/>
    </xf>
    <xf numFmtId="3" fontId="2" fillId="0" borderId="36" xfId="0" applyNumberFormat="1" applyFont="1" applyBorder="1" applyAlignment="1" applyProtection="1">
      <alignment horizontal="center" vertical="center" wrapText="1"/>
      <protection hidden="1"/>
    </xf>
    <xf numFmtId="3" fontId="7" fillId="0" borderId="2" xfId="0" applyNumberFormat="1" applyFont="1" applyBorder="1" applyAlignment="1" applyProtection="1">
      <alignment horizontal="center" vertical="center"/>
      <protection hidden="1"/>
    </xf>
    <xf numFmtId="3" fontId="4" fillId="4" borderId="4" xfId="0" applyNumberFormat="1" applyFont="1" applyFill="1" applyBorder="1" applyAlignment="1" applyProtection="1">
      <alignment horizontal="center"/>
      <protection hidden="1"/>
    </xf>
    <xf numFmtId="3" fontId="4" fillId="0" borderId="2" xfId="0" applyNumberFormat="1" applyFont="1" applyBorder="1" applyAlignment="1" applyProtection="1">
      <alignment horizontal="center" wrapText="1"/>
      <protection hidden="1"/>
    </xf>
    <xf numFmtId="0" fontId="2" fillId="6" borderId="99" xfId="0" applyFont="1" applyFill="1" applyBorder="1" applyAlignment="1" applyProtection="1">
      <alignment vertical="center" wrapText="1"/>
      <protection locked="0"/>
    </xf>
    <xf numFmtId="1" fontId="3" fillId="6" borderId="49" xfId="0" applyNumberFormat="1" applyFont="1" applyFill="1" applyBorder="1" applyAlignment="1" applyProtection="1">
      <alignment horizontal="center" vertical="center"/>
      <protection hidden="1"/>
    </xf>
    <xf numFmtId="3" fontId="2" fillId="6" borderId="49" xfId="2" applyNumberFormat="1" applyFont="1" applyFill="1" applyBorder="1" applyAlignment="1" applyProtection="1">
      <alignment horizontal="center" vertical="center" wrapText="1"/>
      <protection locked="0"/>
    </xf>
    <xf numFmtId="3" fontId="2" fillId="6" borderId="99" xfId="2" applyNumberFormat="1" applyFont="1" applyFill="1" applyBorder="1" applyAlignment="1" applyProtection="1">
      <alignment horizontal="center" vertical="center" wrapText="1"/>
      <protection locked="0"/>
    </xf>
    <xf numFmtId="3" fontId="2" fillId="6" borderId="50" xfId="2" applyNumberFormat="1" applyFont="1" applyFill="1" applyBorder="1" applyAlignment="1" applyProtection="1">
      <alignment horizontal="center" vertical="center" wrapText="1"/>
      <protection locked="0"/>
    </xf>
    <xf numFmtId="168" fontId="2" fillId="6" borderId="99" xfId="2" applyNumberFormat="1" applyFont="1" applyFill="1" applyBorder="1" applyAlignment="1" applyProtection="1">
      <alignment horizontal="center" vertical="center"/>
      <protection locked="0"/>
    </xf>
    <xf numFmtId="1" fontId="2" fillId="6" borderId="99" xfId="0" applyNumberFormat="1" applyFont="1" applyFill="1" applyBorder="1" applyAlignment="1" applyProtection="1">
      <alignment horizontal="center" vertical="center"/>
      <protection locked="0"/>
    </xf>
    <xf numFmtId="3" fontId="2" fillId="0" borderId="49" xfId="0" applyNumberFormat="1" applyFont="1" applyBorder="1" applyAlignment="1" applyProtection="1">
      <alignment horizontal="center" vertical="center" wrapText="1"/>
      <protection hidden="1"/>
    </xf>
    <xf numFmtId="0" fontId="2" fillId="6" borderId="11" xfId="0" applyFont="1" applyFill="1" applyBorder="1" applyAlignment="1" applyProtection="1">
      <alignment vertical="center" wrapText="1"/>
      <protection locked="0"/>
    </xf>
    <xf numFmtId="3" fontId="2" fillId="0" borderId="60" xfId="0" applyNumberFormat="1" applyFont="1" applyBorder="1" applyAlignment="1" applyProtection="1">
      <alignment horizontal="center" vertical="center" wrapText="1"/>
      <protection hidden="1"/>
    </xf>
    <xf numFmtId="1" fontId="3" fillId="6" borderId="60" xfId="0" applyNumberFormat="1" applyFont="1" applyFill="1" applyBorder="1" applyAlignment="1" applyProtection="1">
      <alignment horizontal="center" vertical="center"/>
      <protection hidden="1"/>
    </xf>
    <xf numFmtId="3" fontId="2" fillId="6" borderId="60" xfId="2" applyNumberFormat="1" applyFont="1" applyFill="1" applyBorder="1" applyAlignment="1" applyProtection="1">
      <alignment horizontal="center" vertical="center" wrapText="1"/>
      <protection locked="0"/>
    </xf>
    <xf numFmtId="3" fontId="2" fillId="6" borderId="11" xfId="2" applyNumberFormat="1" applyFont="1" applyFill="1" applyBorder="1" applyAlignment="1" applyProtection="1">
      <alignment horizontal="center" vertical="center" wrapText="1"/>
      <protection locked="0"/>
    </xf>
    <xf numFmtId="3" fontId="2" fillId="6" borderId="37" xfId="2" applyNumberFormat="1" applyFont="1" applyFill="1" applyBorder="1" applyAlignment="1" applyProtection="1">
      <alignment horizontal="center" vertical="center" wrapText="1"/>
      <protection locked="0"/>
    </xf>
    <xf numFmtId="3" fontId="2" fillId="6" borderId="105" xfId="0" applyNumberFormat="1" applyFont="1" applyFill="1" applyBorder="1" applyAlignment="1" applyProtection="1">
      <alignment horizontal="center" vertical="center" wrapText="1"/>
      <protection locked="0"/>
    </xf>
    <xf numFmtId="168" fontId="2" fillId="6" borderId="106" xfId="2" applyNumberFormat="1" applyFont="1" applyFill="1" applyBorder="1" applyAlignment="1" applyProtection="1">
      <alignment horizontal="center" vertical="center"/>
      <protection locked="0"/>
    </xf>
    <xf numFmtId="1" fontId="2" fillId="6" borderId="106" xfId="0" applyNumberFormat="1" applyFont="1" applyFill="1" applyBorder="1" applyAlignment="1" applyProtection="1">
      <alignment horizontal="center" vertical="center"/>
      <protection locked="0"/>
    </xf>
    <xf numFmtId="0" fontId="16" fillId="5" borderId="97" xfId="0" applyFont="1" applyFill="1" applyBorder="1" applyAlignment="1" applyProtection="1">
      <alignment horizontal="center"/>
      <protection hidden="1"/>
    </xf>
    <xf numFmtId="0" fontId="16" fillId="5" borderId="113" xfId="0" applyFont="1" applyFill="1" applyBorder="1" applyAlignment="1" applyProtection="1">
      <alignment wrapText="1"/>
      <protection hidden="1"/>
    </xf>
    <xf numFmtId="0" fontId="16" fillId="5" borderId="114" xfId="0" applyFont="1" applyFill="1" applyBorder="1" applyAlignment="1" applyProtection="1">
      <alignment horizontal="center" vertical="center" wrapText="1"/>
      <protection hidden="1"/>
    </xf>
    <xf numFmtId="0" fontId="16" fillId="5" borderId="115" xfId="0" applyFont="1" applyFill="1" applyBorder="1" applyAlignment="1" applyProtection="1">
      <alignment horizontal="center" vertical="center" wrapText="1"/>
      <protection hidden="1"/>
    </xf>
    <xf numFmtId="168" fontId="3" fillId="2" borderId="119" xfId="2" applyNumberFormat="1" applyFont="1" applyFill="1" applyBorder="1" applyAlignment="1" applyProtection="1">
      <alignment horizontal="center" vertical="center"/>
      <protection locked="0"/>
    </xf>
    <xf numFmtId="168" fontId="3" fillId="2" borderId="101" xfId="2" applyNumberFormat="1" applyFont="1" applyFill="1" applyBorder="1" applyAlignment="1" applyProtection="1">
      <alignment horizontal="center" vertical="center"/>
      <protection locked="0"/>
    </xf>
    <xf numFmtId="3" fontId="24" fillId="4" borderId="35" xfId="3" applyNumberFormat="1" applyFont="1" applyFill="1" applyBorder="1" applyAlignment="1" applyProtection="1">
      <protection locked="0" hidden="1"/>
    </xf>
    <xf numFmtId="165" fontId="3" fillId="2" borderId="3" xfId="2" applyFont="1" applyFill="1" applyBorder="1" applyAlignment="1" applyProtection="1">
      <alignment vertical="center" wrapText="1"/>
      <protection locked="0"/>
    </xf>
    <xf numFmtId="165" fontId="3" fillId="2" borderId="3" xfId="2" applyFont="1" applyFill="1" applyBorder="1" applyAlignment="1" applyProtection="1">
      <alignment vertical="center" wrapText="1"/>
      <protection hidden="1"/>
    </xf>
    <xf numFmtId="168" fontId="2" fillId="2" borderId="2" xfId="2" applyNumberFormat="1" applyFont="1" applyFill="1" applyBorder="1" applyAlignment="1" applyProtection="1">
      <alignment horizontal="center" vertical="center"/>
      <protection hidden="1"/>
    </xf>
    <xf numFmtId="0" fontId="13" fillId="5" borderId="3" xfId="5" quotePrefix="1" applyFont="1" applyFill="1" applyBorder="1" applyAlignment="1">
      <alignment horizontal="center"/>
    </xf>
    <xf numFmtId="0" fontId="49" fillId="10" borderId="4" xfId="0" quotePrefix="1" applyFont="1" applyFill="1" applyBorder="1" applyAlignment="1" applyProtection="1">
      <alignment horizontal="center"/>
      <protection hidden="1"/>
    </xf>
    <xf numFmtId="0" fontId="47" fillId="4" borderId="55" xfId="0" applyFont="1" applyFill="1" applyBorder="1" applyAlignment="1" applyProtection="1">
      <alignment horizontal="center" vertical="center" wrapText="1"/>
      <protection hidden="1"/>
    </xf>
    <xf numFmtId="0" fontId="47" fillId="4" borderId="12" xfId="0" applyFont="1" applyFill="1" applyBorder="1" applyAlignment="1" applyProtection="1">
      <alignment horizontal="center" vertical="center" wrapText="1"/>
      <protection hidden="1"/>
    </xf>
    <xf numFmtId="0" fontId="47" fillId="4" borderId="36" xfId="0" applyFont="1" applyFill="1" applyBorder="1" applyAlignment="1" applyProtection="1">
      <alignment horizontal="center" vertical="center" wrapText="1"/>
      <protection hidden="1"/>
    </xf>
    <xf numFmtId="0" fontId="47" fillId="4" borderId="0" xfId="0" applyFont="1" applyFill="1" applyAlignment="1" applyProtection="1">
      <alignment horizontal="center" vertical="center" wrapText="1"/>
      <protection hidden="1"/>
    </xf>
    <xf numFmtId="0" fontId="47" fillId="4" borderId="10" xfId="0" applyFont="1" applyFill="1" applyBorder="1" applyAlignment="1" applyProtection="1">
      <alignment horizontal="center" vertical="center" wrapText="1"/>
      <protection hidden="1"/>
    </xf>
    <xf numFmtId="0" fontId="47" fillId="4" borderId="4" xfId="0" applyFont="1" applyFill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33" xfId="0" applyFont="1" applyBorder="1" applyAlignment="1" applyProtection="1">
      <alignment horizontal="center" vertical="center"/>
      <protection hidden="1"/>
    </xf>
    <xf numFmtId="0" fontId="3" fillId="0" borderId="34" xfId="0" applyFont="1" applyBorder="1" applyAlignment="1" applyProtection="1">
      <alignment horizontal="center" vertical="center"/>
      <protection hidden="1"/>
    </xf>
    <xf numFmtId="0" fontId="56" fillId="0" borderId="55" xfId="0" applyFont="1" applyBorder="1" applyAlignment="1" applyProtection="1">
      <alignment horizontal="center" vertical="center"/>
      <protection hidden="1"/>
    </xf>
    <xf numFmtId="0" fontId="56" fillId="0" borderId="12" xfId="0" applyFont="1" applyBorder="1" applyAlignment="1" applyProtection="1">
      <alignment horizontal="center" vertical="center"/>
      <protection hidden="1"/>
    </xf>
    <xf numFmtId="0" fontId="56" fillId="0" borderId="56" xfId="0" applyFont="1" applyBorder="1" applyAlignment="1" applyProtection="1">
      <alignment horizontal="center" vertical="center"/>
      <protection hidden="1"/>
    </xf>
    <xf numFmtId="0" fontId="56" fillId="0" borderId="36" xfId="0" applyFont="1" applyBorder="1" applyAlignment="1" applyProtection="1">
      <alignment horizontal="center" vertical="center"/>
      <protection hidden="1"/>
    </xf>
    <xf numFmtId="0" fontId="56" fillId="0" borderId="0" xfId="0" applyFont="1" applyAlignment="1" applyProtection="1">
      <alignment horizontal="center" vertical="center"/>
      <protection hidden="1"/>
    </xf>
    <xf numFmtId="0" fontId="56" fillId="0" borderId="65" xfId="0" applyFont="1" applyBorder="1" applyAlignment="1" applyProtection="1">
      <alignment horizontal="center" vertical="center"/>
      <protection hidden="1"/>
    </xf>
    <xf numFmtId="0" fontId="56" fillId="0" borderId="10" xfId="0" applyFont="1" applyBorder="1" applyAlignment="1" applyProtection="1">
      <alignment horizontal="center" vertical="center"/>
      <protection hidden="1"/>
    </xf>
    <xf numFmtId="0" fontId="56" fillId="0" borderId="4" xfId="0" applyFont="1" applyBorder="1" applyAlignment="1" applyProtection="1">
      <alignment horizontal="center" vertical="center"/>
      <protection hidden="1"/>
    </xf>
    <xf numFmtId="0" fontId="56" fillId="0" borderId="35" xfId="0" applyFont="1" applyBorder="1" applyAlignment="1" applyProtection="1">
      <alignment horizontal="center" vertical="center"/>
      <protection hidden="1"/>
    </xf>
    <xf numFmtId="0" fontId="47" fillId="0" borderId="55" xfId="0" applyFont="1" applyBorder="1" applyAlignment="1" applyProtection="1">
      <alignment horizontal="center" vertical="center" wrapText="1"/>
      <protection hidden="1"/>
    </xf>
    <xf numFmtId="0" fontId="47" fillId="0" borderId="12" xfId="0" applyFont="1" applyBorder="1" applyAlignment="1" applyProtection="1">
      <alignment horizontal="center" vertical="center" wrapText="1"/>
      <protection hidden="1"/>
    </xf>
    <xf numFmtId="0" fontId="47" fillId="0" borderId="10" xfId="0" applyFont="1" applyBorder="1" applyAlignment="1" applyProtection="1">
      <alignment horizontal="center" vertical="center" wrapText="1"/>
      <protection hidden="1"/>
    </xf>
    <xf numFmtId="0" fontId="47" fillId="0" borderId="4" xfId="0" applyFont="1" applyBorder="1" applyAlignment="1" applyProtection="1">
      <alignment horizontal="center" vertical="center" wrapText="1"/>
      <protection hidden="1"/>
    </xf>
    <xf numFmtId="0" fontId="47" fillId="0" borderId="55" xfId="0" applyFont="1" applyBorder="1" applyAlignment="1" applyProtection="1">
      <alignment horizontal="center" vertical="center"/>
      <protection hidden="1"/>
    </xf>
    <xf numFmtId="0" fontId="47" fillId="0" borderId="12" xfId="0" applyFont="1" applyBorder="1" applyAlignment="1" applyProtection="1">
      <alignment horizontal="center" vertical="center"/>
      <protection hidden="1"/>
    </xf>
    <xf numFmtId="0" fontId="13" fillId="5" borderId="72" xfId="0" applyFont="1" applyFill="1" applyBorder="1" applyAlignment="1" applyProtection="1">
      <alignment horizontal="center" vertical="center"/>
      <protection hidden="1"/>
    </xf>
    <xf numFmtId="14" fontId="47" fillId="14" borderId="12" xfId="0" applyNumberFormat="1" applyFont="1" applyFill="1" applyBorder="1" applyAlignment="1" applyProtection="1">
      <alignment horizontal="center" vertical="center"/>
      <protection hidden="1"/>
    </xf>
    <xf numFmtId="14" fontId="47" fillId="14" borderId="56" xfId="0" applyNumberFormat="1" applyFont="1" applyFill="1" applyBorder="1" applyAlignment="1" applyProtection="1">
      <alignment horizontal="center" vertical="center"/>
      <protection hidden="1"/>
    </xf>
    <xf numFmtId="14" fontId="47" fillId="14" borderId="4" xfId="0" applyNumberFormat="1" applyFont="1" applyFill="1" applyBorder="1" applyAlignment="1" applyProtection="1">
      <alignment horizontal="center" vertical="center"/>
      <protection hidden="1"/>
    </xf>
    <xf numFmtId="14" fontId="47" fillId="14" borderId="35" xfId="0" applyNumberFormat="1" applyFont="1" applyFill="1" applyBorder="1" applyAlignment="1" applyProtection="1">
      <alignment horizontal="center" vertical="center"/>
      <protection hidden="1"/>
    </xf>
    <xf numFmtId="0" fontId="16" fillId="5" borderId="55" xfId="0" applyFont="1" applyFill="1" applyBorder="1" applyAlignment="1" applyProtection="1">
      <alignment horizontal="center" vertical="center"/>
      <protection hidden="1"/>
    </xf>
    <xf numFmtId="0" fontId="16" fillId="5" borderId="12" xfId="0" applyFont="1" applyFill="1" applyBorder="1" applyAlignment="1" applyProtection="1">
      <alignment horizontal="center" vertical="center"/>
      <protection hidden="1"/>
    </xf>
    <xf numFmtId="0" fontId="16" fillId="5" borderId="39" xfId="0" applyFont="1" applyFill="1" applyBorder="1" applyAlignment="1" applyProtection="1">
      <alignment horizontal="center" vertical="center"/>
      <protection hidden="1"/>
    </xf>
    <xf numFmtId="0" fontId="16" fillId="5" borderId="40" xfId="0" applyFont="1" applyFill="1" applyBorder="1" applyAlignment="1" applyProtection="1">
      <alignment horizontal="center" vertical="center"/>
      <protection hidden="1"/>
    </xf>
    <xf numFmtId="0" fontId="16" fillId="5" borderId="36" xfId="0" applyFont="1" applyFill="1" applyBorder="1" applyAlignment="1" applyProtection="1">
      <alignment horizontal="center" vertical="center"/>
      <protection hidden="1"/>
    </xf>
    <xf numFmtId="0" fontId="16" fillId="5" borderId="0" xfId="0" applyFont="1" applyFill="1" applyAlignment="1" applyProtection="1">
      <alignment horizontal="center" vertical="center"/>
      <protection hidden="1"/>
    </xf>
    <xf numFmtId="0" fontId="16" fillId="5" borderId="43" xfId="0" applyFont="1" applyFill="1" applyBorder="1" applyAlignment="1" applyProtection="1">
      <alignment horizontal="center" vertical="center"/>
      <protection hidden="1"/>
    </xf>
    <xf numFmtId="0" fontId="47" fillId="4" borderId="3" xfId="0" applyFont="1" applyFill="1" applyBorder="1" applyAlignment="1" applyProtection="1">
      <alignment horizontal="center" vertical="center"/>
      <protection hidden="1"/>
    </xf>
    <xf numFmtId="0" fontId="16" fillId="5" borderId="41" xfId="0" applyFont="1" applyFill="1" applyBorder="1" applyAlignment="1" applyProtection="1">
      <alignment horizontal="center" vertical="center"/>
      <protection hidden="1"/>
    </xf>
    <xf numFmtId="0" fontId="16" fillId="5" borderId="65" xfId="0" applyFont="1" applyFill="1" applyBorder="1" applyAlignment="1" applyProtection="1">
      <alignment horizontal="center" vertical="center"/>
      <protection hidden="1"/>
    </xf>
    <xf numFmtId="0" fontId="16" fillId="5" borderId="57" xfId="0" applyFont="1" applyFill="1" applyBorder="1" applyAlignment="1" applyProtection="1">
      <alignment horizontal="center" vertical="center"/>
      <protection hidden="1"/>
    </xf>
    <xf numFmtId="0" fontId="16" fillId="5" borderId="58" xfId="0" applyFont="1" applyFill="1" applyBorder="1" applyAlignment="1" applyProtection="1">
      <alignment horizontal="center" vertical="center"/>
      <protection hidden="1"/>
    </xf>
    <xf numFmtId="165" fontId="3" fillId="2" borderId="8" xfId="2" applyFont="1" applyFill="1" applyBorder="1" applyAlignment="1" applyProtection="1">
      <alignment horizontal="center" vertical="center" wrapText="1"/>
      <protection locked="0" hidden="1"/>
    </xf>
    <xf numFmtId="165" fontId="3" fillId="2" borderId="33" xfId="2" applyFont="1" applyFill="1" applyBorder="1" applyAlignment="1" applyProtection="1">
      <alignment horizontal="center" vertical="center" wrapText="1"/>
      <protection locked="0" hidden="1"/>
    </xf>
    <xf numFmtId="165" fontId="3" fillId="2" borderId="34" xfId="2" applyFont="1" applyFill="1" applyBorder="1" applyAlignment="1" applyProtection="1">
      <alignment horizontal="center" vertical="center" wrapText="1"/>
      <protection locked="0" hidden="1"/>
    </xf>
    <xf numFmtId="165" fontId="3" fillId="2" borderId="8" xfId="2" applyFont="1" applyFill="1" applyBorder="1" applyAlignment="1" applyProtection="1">
      <alignment horizontal="center" vertical="center" wrapText="1"/>
      <protection locked="0"/>
    </xf>
    <xf numFmtId="165" fontId="3" fillId="2" borderId="34" xfId="2" applyFont="1" applyFill="1" applyBorder="1" applyAlignment="1" applyProtection="1">
      <alignment horizontal="center" vertical="center" wrapText="1"/>
      <protection locked="0"/>
    </xf>
    <xf numFmtId="165" fontId="3" fillId="2" borderId="8" xfId="2" applyFont="1" applyFill="1" applyBorder="1" applyAlignment="1" applyProtection="1">
      <alignment horizontal="center" vertical="center" wrapText="1"/>
      <protection hidden="1"/>
    </xf>
    <xf numFmtId="165" fontId="3" fillId="2" borderId="33" xfId="2" applyFont="1" applyFill="1" applyBorder="1" applyAlignment="1" applyProtection="1">
      <alignment horizontal="center" vertical="center" wrapText="1"/>
      <protection hidden="1"/>
    </xf>
    <xf numFmtId="165" fontId="3" fillId="2" borderId="34" xfId="2" applyFont="1" applyFill="1" applyBorder="1" applyAlignment="1" applyProtection="1">
      <alignment horizontal="center" vertical="center" wrapText="1"/>
      <protection hidden="1"/>
    </xf>
    <xf numFmtId="0" fontId="16" fillId="5" borderId="111" xfId="0" applyFont="1" applyFill="1" applyBorder="1" applyAlignment="1" applyProtection="1">
      <alignment horizontal="center" vertical="center"/>
      <protection hidden="1"/>
    </xf>
    <xf numFmtId="0" fontId="16" fillId="5" borderId="112" xfId="0" applyFont="1" applyFill="1" applyBorder="1" applyAlignment="1" applyProtection="1">
      <alignment horizontal="center" vertical="center"/>
      <protection hidden="1"/>
    </xf>
    <xf numFmtId="169" fontId="47" fillId="0" borderId="12" xfId="0" applyNumberFormat="1" applyFont="1" applyBorder="1" applyAlignment="1" applyProtection="1">
      <alignment horizontal="center" vertical="center" wrapText="1"/>
      <protection hidden="1"/>
    </xf>
    <xf numFmtId="169" fontId="47" fillId="0" borderId="56" xfId="0" applyNumberFormat="1" applyFont="1" applyBorder="1" applyAlignment="1" applyProtection="1">
      <alignment horizontal="center" vertical="center" wrapText="1"/>
      <protection hidden="1"/>
    </xf>
    <xf numFmtId="169" fontId="47" fillId="0" borderId="4" xfId="0" applyNumberFormat="1" applyFont="1" applyBorder="1" applyAlignment="1" applyProtection="1">
      <alignment horizontal="center" vertical="center" wrapText="1"/>
      <protection hidden="1"/>
    </xf>
    <xf numFmtId="169" fontId="47" fillId="0" borderId="35" xfId="0" applyNumberFormat="1" applyFont="1" applyBorder="1" applyAlignment="1" applyProtection="1">
      <alignment horizontal="center" vertical="center" wrapText="1"/>
      <protection hidden="1"/>
    </xf>
    <xf numFmtId="3" fontId="3" fillId="0" borderId="61" xfId="0" applyNumberFormat="1" applyFont="1" applyBorder="1" applyAlignment="1" applyProtection="1">
      <alignment horizontal="right" vertical="center" wrapText="1"/>
      <protection hidden="1"/>
    </xf>
    <xf numFmtId="3" fontId="3" fillId="0" borderId="18" xfId="0" applyNumberFormat="1" applyFont="1" applyBorder="1" applyAlignment="1" applyProtection="1">
      <alignment horizontal="right" vertical="center" wrapText="1"/>
      <protection hidden="1"/>
    </xf>
    <xf numFmtId="0" fontId="9" fillId="0" borderId="46" xfId="0" applyFont="1" applyBorder="1" applyAlignment="1" applyProtection="1">
      <alignment horizontal="left" vertical="top" wrapText="1"/>
      <protection hidden="1"/>
    </xf>
    <xf numFmtId="0" fontId="9" fillId="0" borderId="47" xfId="0" applyFont="1" applyBorder="1" applyAlignment="1" applyProtection="1">
      <alignment horizontal="left" vertical="top" wrapText="1"/>
      <protection hidden="1"/>
    </xf>
    <xf numFmtId="0" fontId="9" fillId="0" borderId="48" xfId="0" applyFont="1" applyBorder="1" applyAlignment="1" applyProtection="1">
      <alignment horizontal="left" vertical="top" wrapText="1"/>
      <protection hidden="1"/>
    </xf>
    <xf numFmtId="0" fontId="9" fillId="0" borderId="14" xfId="0" applyFont="1" applyBorder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 wrapText="1"/>
      <protection hidden="1"/>
    </xf>
    <xf numFmtId="0" fontId="9" fillId="0" borderId="23" xfId="0" applyFont="1" applyBorder="1" applyAlignment="1" applyProtection="1">
      <alignment horizontal="left" wrapText="1"/>
      <protection hidden="1"/>
    </xf>
    <xf numFmtId="0" fontId="9" fillId="0" borderId="24" xfId="0" applyFont="1" applyBorder="1" applyAlignment="1" applyProtection="1">
      <alignment horizontal="left" wrapText="1"/>
      <protection hidden="1"/>
    </xf>
    <xf numFmtId="0" fontId="9" fillId="0" borderId="21" xfId="0" applyFont="1" applyBorder="1" applyAlignment="1" applyProtection="1">
      <alignment horizontal="left" wrapText="1"/>
      <protection hidden="1"/>
    </xf>
    <xf numFmtId="0" fontId="7" fillId="4" borderId="46" xfId="0" applyFont="1" applyFill="1" applyBorder="1" applyAlignment="1" applyProtection="1">
      <alignment horizontal="left" vertical="center"/>
      <protection hidden="1"/>
    </xf>
    <xf numFmtId="0" fontId="7" fillId="4" borderId="47" xfId="0" applyFont="1" applyFill="1" applyBorder="1" applyAlignment="1" applyProtection="1">
      <alignment horizontal="left" vertical="center"/>
      <protection hidden="1"/>
    </xf>
    <xf numFmtId="0" fontId="7" fillId="4" borderId="48" xfId="0" applyFont="1" applyFill="1" applyBorder="1" applyAlignment="1" applyProtection="1">
      <alignment horizontal="left" vertical="center"/>
      <protection hidden="1"/>
    </xf>
    <xf numFmtId="168" fontId="3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15" fillId="3" borderId="108" xfId="0" applyFont="1" applyFill="1" applyBorder="1" applyAlignment="1" applyProtection="1">
      <alignment horizontal="center" vertical="center" wrapText="1"/>
      <protection hidden="1"/>
    </xf>
    <xf numFmtId="0" fontId="15" fillId="3" borderId="109" xfId="0" applyFont="1" applyFill="1" applyBorder="1" applyAlignment="1" applyProtection="1">
      <alignment horizontal="center" vertical="center" wrapText="1"/>
      <protection hidden="1"/>
    </xf>
    <xf numFmtId="0" fontId="15" fillId="3" borderId="110" xfId="0" applyFont="1" applyFill="1" applyBorder="1" applyAlignment="1" applyProtection="1">
      <alignment horizontal="center" vertical="center" wrapText="1"/>
      <protection hidden="1"/>
    </xf>
    <xf numFmtId="0" fontId="16" fillId="5" borderId="70" xfId="0" applyFont="1" applyFill="1" applyBorder="1" applyAlignment="1" applyProtection="1">
      <alignment horizontal="center" vertical="center"/>
      <protection hidden="1"/>
    </xf>
    <xf numFmtId="0" fontId="16" fillId="5" borderId="68" xfId="0" applyFont="1" applyFill="1" applyBorder="1" applyAlignment="1" applyProtection="1">
      <alignment horizontal="center" vertical="center"/>
      <protection hidden="1"/>
    </xf>
    <xf numFmtId="0" fontId="16" fillId="5" borderId="71" xfId="0" applyFont="1" applyFill="1" applyBorder="1" applyAlignment="1" applyProtection="1">
      <alignment horizontal="center" vertical="center"/>
      <protection hidden="1"/>
    </xf>
    <xf numFmtId="3" fontId="9" fillId="0" borderId="8" xfId="0" applyNumberFormat="1" applyFont="1" applyBorder="1" applyAlignment="1" applyProtection="1">
      <alignment horizontal="center" vertical="center"/>
      <protection hidden="1"/>
    </xf>
    <xf numFmtId="3" fontId="9" fillId="0" borderId="33" xfId="0" applyNumberFormat="1" applyFont="1" applyBorder="1" applyAlignment="1" applyProtection="1">
      <alignment horizontal="center" vertical="center"/>
      <protection hidden="1"/>
    </xf>
    <xf numFmtId="3" fontId="9" fillId="0" borderId="34" xfId="0" applyNumberFormat="1" applyFont="1" applyBorder="1" applyAlignment="1" applyProtection="1">
      <alignment horizontal="center" vertical="center"/>
      <protection hidden="1"/>
    </xf>
    <xf numFmtId="1" fontId="7" fillId="6" borderId="97" xfId="0" applyNumberFormat="1" applyFont="1" applyFill="1" applyBorder="1" applyAlignment="1" applyProtection="1">
      <alignment horizontal="center" vertical="center" wrapText="1"/>
      <protection hidden="1"/>
    </xf>
    <xf numFmtId="1" fontId="7" fillId="6" borderId="101" xfId="0" applyNumberFormat="1" applyFont="1" applyFill="1" applyBorder="1" applyAlignment="1" applyProtection="1">
      <alignment horizontal="center" vertical="center" wrapText="1"/>
      <protection hidden="1"/>
    </xf>
    <xf numFmtId="1" fontId="7" fillId="6" borderId="103" xfId="0" applyNumberFormat="1" applyFont="1" applyFill="1" applyBorder="1" applyAlignment="1" applyProtection="1">
      <alignment horizontal="center" vertical="center" wrapText="1"/>
      <protection hidden="1"/>
    </xf>
    <xf numFmtId="0" fontId="2" fillId="6" borderId="8" xfId="0" applyFont="1" applyFill="1" applyBorder="1" applyAlignment="1" applyProtection="1">
      <alignment horizontal="center" vertical="center" wrapText="1"/>
      <protection locked="0"/>
    </xf>
    <xf numFmtId="0" fontId="2" fillId="6" borderId="33" xfId="0" applyFont="1" applyFill="1" applyBorder="1" applyAlignment="1" applyProtection="1">
      <alignment horizontal="center" vertical="center" wrapText="1"/>
      <protection locked="0"/>
    </xf>
    <xf numFmtId="0" fontId="2" fillId="6" borderId="34" xfId="0" applyFont="1" applyFill="1" applyBorder="1" applyAlignment="1" applyProtection="1">
      <alignment horizontal="center" vertical="center" wrapText="1"/>
      <protection locked="0"/>
    </xf>
    <xf numFmtId="0" fontId="2" fillId="6" borderId="60" xfId="0" applyFont="1" applyFill="1" applyBorder="1" applyAlignment="1" applyProtection="1">
      <alignment horizontal="center" vertical="center" wrapText="1"/>
      <protection locked="0"/>
    </xf>
    <xf numFmtId="0" fontId="2" fillId="6" borderId="104" xfId="0" applyFont="1" applyFill="1" applyBorder="1" applyAlignment="1" applyProtection="1">
      <alignment horizontal="center" vertical="center" wrapText="1"/>
      <protection locked="0"/>
    </xf>
    <xf numFmtId="0" fontId="2" fillId="6" borderId="37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4" fontId="3" fillId="0" borderId="8" xfId="0" applyNumberFormat="1" applyFont="1" applyBorder="1" applyAlignment="1" applyProtection="1">
      <alignment horizontal="center" vertical="center"/>
      <protection hidden="1"/>
    </xf>
    <xf numFmtId="4" fontId="3" fillId="0" borderId="33" xfId="0" applyNumberFormat="1" applyFont="1" applyBorder="1" applyAlignment="1" applyProtection="1">
      <alignment horizontal="center" vertical="center"/>
      <protection hidden="1"/>
    </xf>
    <xf numFmtId="4" fontId="3" fillId="0" borderId="34" xfId="0" applyNumberFormat="1" applyFont="1" applyBorder="1" applyAlignment="1" applyProtection="1">
      <alignment horizontal="center" vertical="center"/>
      <protection hidden="1"/>
    </xf>
    <xf numFmtId="1" fontId="3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33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34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8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34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60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37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51" xfId="0" applyFont="1" applyFill="1" applyBorder="1" applyAlignment="1" applyProtection="1">
      <alignment horizontal="center" vertical="center" wrapText="1"/>
      <protection hidden="1"/>
    </xf>
    <xf numFmtId="0" fontId="17" fillId="5" borderId="82" xfId="0" applyFont="1" applyFill="1" applyBorder="1" applyAlignment="1" applyProtection="1">
      <alignment horizontal="center" vertical="center" wrapText="1"/>
      <protection hidden="1"/>
    </xf>
    <xf numFmtId="0" fontId="16" fillId="5" borderId="94" xfId="0" applyFont="1" applyFill="1" applyBorder="1" applyAlignment="1" applyProtection="1">
      <alignment horizontal="center" vertical="center" wrapText="1"/>
      <protection hidden="1"/>
    </xf>
    <xf numFmtId="0" fontId="16" fillId="5" borderId="95" xfId="0" applyFont="1" applyFill="1" applyBorder="1" applyAlignment="1" applyProtection="1">
      <alignment horizontal="center" vertical="center" wrapText="1"/>
      <protection hidden="1"/>
    </xf>
    <xf numFmtId="0" fontId="16" fillId="5" borderId="96" xfId="0" applyFont="1" applyFill="1" applyBorder="1" applyAlignment="1" applyProtection="1">
      <alignment horizontal="center" vertical="center" wrapText="1"/>
      <protection hidden="1"/>
    </xf>
    <xf numFmtId="0" fontId="52" fillId="5" borderId="86" xfId="0" applyFont="1" applyFill="1" applyBorder="1" applyAlignment="1" applyProtection="1">
      <alignment horizontal="center" vertical="center" wrapText="1"/>
      <protection hidden="1"/>
    </xf>
    <xf numFmtId="0" fontId="52" fillId="5" borderId="87" xfId="0" applyFont="1" applyFill="1" applyBorder="1" applyAlignment="1" applyProtection="1">
      <alignment horizontal="center" vertical="center" wrapText="1"/>
      <protection hidden="1"/>
    </xf>
    <xf numFmtId="0" fontId="52" fillId="5" borderId="88" xfId="0" applyFont="1" applyFill="1" applyBorder="1" applyAlignment="1" applyProtection="1">
      <alignment horizontal="center" vertical="center" wrapText="1"/>
      <protection hidden="1"/>
    </xf>
    <xf numFmtId="0" fontId="16" fillId="5" borderId="67" xfId="0" applyFont="1" applyFill="1" applyBorder="1" applyAlignment="1" applyProtection="1">
      <alignment horizontal="center" vertical="center"/>
      <protection hidden="1"/>
    </xf>
    <xf numFmtId="0" fontId="16" fillId="5" borderId="69" xfId="0" applyFont="1" applyFill="1" applyBorder="1" applyAlignment="1" applyProtection="1">
      <alignment horizontal="center" vertical="center"/>
      <protection hidden="1"/>
    </xf>
    <xf numFmtId="168" fontId="2" fillId="2" borderId="10" xfId="2" applyNumberFormat="1" applyFont="1" applyFill="1" applyBorder="1" applyAlignment="1" applyProtection="1">
      <alignment horizontal="center" vertical="center"/>
      <protection locked="0"/>
    </xf>
    <xf numFmtId="168" fontId="2" fillId="2" borderId="35" xfId="2" applyNumberFormat="1" applyFont="1" applyFill="1" applyBorder="1" applyAlignment="1" applyProtection="1">
      <alignment horizontal="center" vertical="center"/>
      <protection locked="0"/>
    </xf>
    <xf numFmtId="0" fontId="34" fillId="5" borderId="101" xfId="1" applyFont="1" applyFill="1" applyBorder="1" applyAlignment="1" applyProtection="1">
      <alignment horizontal="center" vertical="center" wrapText="1"/>
      <protection hidden="1"/>
    </xf>
    <xf numFmtId="0" fontId="34" fillId="5" borderId="117" xfId="1" applyFont="1" applyFill="1" applyBorder="1" applyAlignment="1" applyProtection="1">
      <alignment horizontal="center" vertical="center" wrapText="1"/>
      <protection hidden="1"/>
    </xf>
    <xf numFmtId="3" fontId="2" fillId="6" borderId="49" xfId="0" applyNumberFormat="1" applyFont="1" applyFill="1" applyBorder="1" applyAlignment="1" applyProtection="1">
      <alignment horizontal="center" vertical="center" wrapText="1"/>
      <protection locked="0"/>
    </xf>
    <xf numFmtId="3" fontId="2" fillId="6" borderId="5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0" fontId="7" fillId="4" borderId="32" xfId="0" applyFont="1" applyFill="1" applyBorder="1" applyAlignment="1" applyProtection="1">
      <alignment horizontal="center" vertical="center"/>
      <protection hidden="1"/>
    </xf>
    <xf numFmtId="0" fontId="7" fillId="4" borderId="61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right"/>
      <protection hidden="1"/>
    </xf>
    <xf numFmtId="4" fontId="7" fillId="0" borderId="0" xfId="0" applyNumberFormat="1" applyFont="1" applyAlignment="1" applyProtection="1">
      <alignment horizontal="center" vertical="center" wrapText="1"/>
      <protection hidden="1"/>
    </xf>
    <xf numFmtId="0" fontId="16" fillId="5" borderId="56" xfId="0" applyFont="1" applyFill="1" applyBorder="1" applyAlignment="1" applyProtection="1">
      <alignment horizontal="center" vertical="center"/>
      <protection hidden="1"/>
    </xf>
    <xf numFmtId="3" fontId="7" fillId="0" borderId="10" xfId="0" applyNumberFormat="1" applyFont="1" applyBorder="1" applyAlignment="1" applyProtection="1">
      <alignment horizontal="center" vertical="center" wrapText="1"/>
      <protection hidden="1"/>
    </xf>
    <xf numFmtId="3" fontId="7" fillId="0" borderId="35" xfId="0" applyNumberFormat="1" applyFont="1" applyBorder="1" applyAlignment="1" applyProtection="1">
      <alignment horizontal="center" vertical="center" wrapText="1"/>
      <protection hidden="1"/>
    </xf>
    <xf numFmtId="3" fontId="7" fillId="0" borderId="49" xfId="0" applyNumberFormat="1" applyFont="1" applyBorder="1" applyAlignment="1" applyProtection="1">
      <alignment horizontal="center" vertical="center"/>
      <protection hidden="1"/>
    </xf>
    <xf numFmtId="3" fontId="7" fillId="0" borderId="100" xfId="0" applyNumberFormat="1" applyFont="1" applyBorder="1" applyAlignment="1" applyProtection="1">
      <alignment horizontal="center" vertical="center"/>
      <protection hidden="1"/>
    </xf>
    <xf numFmtId="3" fontId="7" fillId="0" borderId="8" xfId="0" applyNumberFormat="1" applyFont="1" applyBorder="1" applyAlignment="1" applyProtection="1">
      <alignment horizontal="center" vertical="center"/>
      <protection hidden="1"/>
    </xf>
    <xf numFmtId="3" fontId="7" fillId="0" borderId="102" xfId="0" applyNumberFormat="1" applyFont="1" applyBorder="1" applyAlignment="1" applyProtection="1">
      <alignment horizontal="center" vertical="center"/>
      <protection hidden="1"/>
    </xf>
    <xf numFmtId="3" fontId="7" fillId="0" borderId="2" xfId="0" applyNumberFormat="1" applyFont="1" applyBorder="1" applyAlignment="1" applyProtection="1">
      <alignment horizontal="center" vertical="center"/>
      <protection hidden="1"/>
    </xf>
    <xf numFmtId="3" fontId="4" fillId="0" borderId="2" xfId="0" applyNumberFormat="1" applyFont="1" applyBorder="1" applyAlignment="1" applyProtection="1">
      <alignment horizontal="center" vertical="center"/>
      <protection hidden="1"/>
    </xf>
    <xf numFmtId="168" fontId="2" fillId="2" borderId="36" xfId="2" applyNumberFormat="1" applyFont="1" applyFill="1" applyBorder="1" applyAlignment="1" applyProtection="1">
      <alignment horizontal="center" vertical="center"/>
      <protection locked="0"/>
    </xf>
    <xf numFmtId="168" fontId="2" fillId="2" borderId="65" xfId="2" applyNumberFormat="1" applyFont="1" applyFill="1" applyBorder="1" applyAlignment="1" applyProtection="1">
      <alignment horizontal="center" vertical="center"/>
      <protection locked="0"/>
    </xf>
    <xf numFmtId="3" fontId="7" fillId="0" borderId="10" xfId="0" applyNumberFormat="1" applyFont="1" applyBorder="1" applyAlignment="1" applyProtection="1">
      <alignment horizontal="center" vertical="center"/>
      <protection hidden="1"/>
    </xf>
    <xf numFmtId="3" fontId="7" fillId="0" borderId="120" xfId="0" applyNumberFormat="1" applyFont="1" applyBorder="1" applyAlignment="1" applyProtection="1">
      <alignment horizontal="center" vertical="center"/>
      <protection hidden="1"/>
    </xf>
    <xf numFmtId="1" fontId="14" fillId="2" borderId="32" xfId="0" applyNumberFormat="1" applyFont="1" applyFill="1" applyBorder="1" applyAlignment="1" applyProtection="1">
      <alignment horizontal="left" vertical="center"/>
      <protection locked="0"/>
    </xf>
    <xf numFmtId="1" fontId="14" fillId="2" borderId="61" xfId="0" applyNumberFormat="1" applyFont="1" applyFill="1" applyBorder="1" applyAlignment="1" applyProtection="1">
      <alignment horizontal="left" vertical="center"/>
      <protection locked="0"/>
    </xf>
    <xf numFmtId="1" fontId="14" fillId="2" borderId="18" xfId="0" applyNumberFormat="1" applyFont="1" applyFill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center" vertical="center"/>
      <protection hidden="1"/>
    </xf>
    <xf numFmtId="0" fontId="16" fillId="5" borderId="4" xfId="0" applyFont="1" applyFill="1" applyBorder="1" applyAlignment="1" applyProtection="1">
      <alignment horizontal="center" vertical="center"/>
      <protection hidden="1"/>
    </xf>
    <xf numFmtId="0" fontId="16" fillId="5" borderId="35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top" wrapText="1"/>
      <protection hidden="1"/>
    </xf>
    <xf numFmtId="0" fontId="9" fillId="0" borderId="0" xfId="0" applyFont="1" applyAlignment="1" applyProtection="1">
      <alignment horizontal="center"/>
      <protection hidden="1"/>
    </xf>
    <xf numFmtId="170" fontId="2" fillId="2" borderId="4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right" vertical="center"/>
      <protection hidden="1"/>
    </xf>
    <xf numFmtId="0" fontId="57" fillId="17" borderId="83" xfId="0" applyFont="1" applyFill="1" applyBorder="1" applyAlignment="1" applyProtection="1">
      <alignment horizontal="center" vertical="center" wrapText="1"/>
      <protection locked="0"/>
    </xf>
    <xf numFmtId="0" fontId="53" fillId="0" borderId="89" xfId="0" applyFont="1" applyBorder="1" applyProtection="1">
      <protection locked="0"/>
    </xf>
    <xf numFmtId="0" fontId="53" fillId="0" borderId="90" xfId="0" applyFont="1" applyBorder="1" applyProtection="1">
      <protection locked="0"/>
    </xf>
    <xf numFmtId="0" fontId="16" fillId="5" borderId="62" xfId="0" applyFont="1" applyFill="1" applyBorder="1" applyAlignment="1" applyProtection="1">
      <alignment horizontal="center" vertical="center"/>
      <protection hidden="1"/>
    </xf>
    <xf numFmtId="0" fontId="16" fillId="5" borderId="21" xfId="0" applyFont="1" applyFill="1" applyBorder="1" applyAlignment="1" applyProtection="1">
      <alignment horizontal="center" vertical="center"/>
      <protection hidden="1"/>
    </xf>
    <xf numFmtId="0" fontId="16" fillId="5" borderId="63" xfId="0" applyFont="1" applyFill="1" applyBorder="1" applyAlignment="1" applyProtection="1">
      <alignment horizontal="center" vertical="center"/>
      <protection hidden="1"/>
    </xf>
    <xf numFmtId="0" fontId="15" fillId="3" borderId="8" xfId="0" applyFont="1" applyFill="1" applyBorder="1" applyAlignment="1" applyProtection="1">
      <alignment horizontal="center" vertical="center" wrapText="1"/>
      <protection hidden="1"/>
    </xf>
    <xf numFmtId="0" fontId="15" fillId="3" borderId="33" xfId="0" applyFont="1" applyFill="1" applyBorder="1" applyAlignment="1" applyProtection="1">
      <alignment horizontal="center" vertical="center" wrapText="1"/>
      <protection hidden="1"/>
    </xf>
    <xf numFmtId="0" fontId="15" fillId="3" borderId="34" xfId="0" applyFont="1" applyFill="1" applyBorder="1" applyAlignment="1" applyProtection="1">
      <alignment horizontal="center" vertical="center" wrapText="1"/>
      <protection hidden="1"/>
    </xf>
    <xf numFmtId="167" fontId="2" fillId="2" borderId="33" xfId="0" applyNumberFormat="1" applyFont="1" applyFill="1" applyBorder="1" applyAlignment="1" applyProtection="1">
      <alignment horizontal="center"/>
      <protection locked="0"/>
    </xf>
    <xf numFmtId="0" fontId="16" fillId="5" borderId="64" xfId="0" applyFont="1" applyFill="1" applyBorder="1" applyAlignment="1" applyProtection="1">
      <alignment horizontal="center" vertical="center"/>
      <protection hidden="1"/>
    </xf>
    <xf numFmtId="0" fontId="47" fillId="4" borderId="55" xfId="0" applyFont="1" applyFill="1" applyBorder="1" applyAlignment="1" applyProtection="1">
      <alignment horizontal="center" vertical="center"/>
      <protection locked="0" hidden="1"/>
    </xf>
    <xf numFmtId="0" fontId="47" fillId="4" borderId="12" xfId="0" applyFont="1" applyFill="1" applyBorder="1" applyAlignment="1" applyProtection="1">
      <alignment horizontal="center" vertical="center"/>
      <protection locked="0" hidden="1"/>
    </xf>
    <xf numFmtId="0" fontId="47" fillId="4" borderId="56" xfId="0" applyFont="1" applyFill="1" applyBorder="1" applyAlignment="1" applyProtection="1">
      <alignment horizontal="center" vertical="center"/>
      <protection locked="0" hidden="1"/>
    </xf>
    <xf numFmtId="0" fontId="47" fillId="4" borderId="10" xfId="0" applyFont="1" applyFill="1" applyBorder="1" applyAlignment="1" applyProtection="1">
      <alignment horizontal="center" vertical="center"/>
      <protection locked="0" hidden="1"/>
    </xf>
    <xf numFmtId="0" fontId="47" fillId="4" borderId="4" xfId="0" applyFont="1" applyFill="1" applyBorder="1" applyAlignment="1" applyProtection="1">
      <alignment horizontal="center" vertical="center"/>
      <protection locked="0" hidden="1"/>
    </xf>
    <xf numFmtId="0" fontId="47" fillId="4" borderId="35" xfId="0" applyFont="1" applyFill="1" applyBorder="1" applyAlignment="1" applyProtection="1">
      <alignment horizontal="center" vertical="center"/>
      <protection locked="0" hidden="1"/>
    </xf>
    <xf numFmtId="0" fontId="7" fillId="0" borderId="12" xfId="0" applyFont="1" applyBorder="1" applyAlignment="1" applyProtection="1">
      <alignment horizontal="center"/>
      <protection hidden="1"/>
    </xf>
    <xf numFmtId="0" fontId="16" fillId="5" borderId="76" xfId="0" quotePrefix="1" applyFont="1" applyFill="1" applyBorder="1" applyAlignment="1" applyProtection="1">
      <alignment horizontal="center" vertical="center" wrapText="1"/>
      <protection hidden="1"/>
    </xf>
    <xf numFmtId="0" fontId="16" fillId="5" borderId="77" xfId="0" quotePrefix="1" applyFont="1" applyFill="1" applyBorder="1" applyAlignment="1" applyProtection="1">
      <alignment horizontal="center" vertical="center" wrapText="1"/>
      <protection hidden="1"/>
    </xf>
    <xf numFmtId="0" fontId="16" fillId="5" borderId="77" xfId="0" applyFont="1" applyFill="1" applyBorder="1" applyAlignment="1" applyProtection="1">
      <alignment horizontal="center" vertical="center" wrapText="1"/>
      <protection hidden="1"/>
    </xf>
    <xf numFmtId="0" fontId="31" fillId="2" borderId="4" xfId="0" applyFont="1" applyFill="1" applyBorder="1" applyAlignment="1" applyProtection="1">
      <alignment horizontal="center" vertical="center" wrapText="1"/>
      <protection locked="0"/>
    </xf>
    <xf numFmtId="0" fontId="58" fillId="17" borderId="83" xfId="0" applyFont="1" applyFill="1" applyBorder="1" applyAlignment="1" applyProtection="1">
      <alignment horizontal="center" vertical="center" wrapText="1"/>
      <protection locked="0"/>
    </xf>
    <xf numFmtId="0" fontId="16" fillId="5" borderId="57" xfId="0" applyFont="1" applyFill="1" applyBorder="1" applyAlignment="1" applyProtection="1">
      <alignment horizontal="center" vertical="center" wrapText="1"/>
      <protection hidden="1"/>
    </xf>
    <xf numFmtId="0" fontId="16" fillId="5" borderId="59" xfId="0" applyFont="1" applyFill="1" applyBorder="1" applyAlignment="1" applyProtection="1">
      <alignment horizontal="center" vertical="center" wrapText="1"/>
      <protection hidden="1"/>
    </xf>
    <xf numFmtId="0" fontId="14" fillId="2" borderId="10" xfId="0" applyFont="1" applyFill="1" applyBorder="1" applyAlignment="1" applyProtection="1">
      <alignment horizontal="center" vertical="center" wrapText="1"/>
      <protection hidden="1"/>
    </xf>
    <xf numFmtId="0" fontId="14" fillId="2" borderId="35" xfId="0" applyFont="1" applyFill="1" applyBorder="1" applyAlignment="1" applyProtection="1">
      <alignment horizontal="center" vertical="center" wrapText="1"/>
      <protection hidden="1"/>
    </xf>
    <xf numFmtId="0" fontId="15" fillId="3" borderId="55" xfId="0" applyFont="1" applyFill="1" applyBorder="1" applyAlignment="1" applyProtection="1">
      <alignment horizontal="center" vertical="center" wrapText="1"/>
      <protection hidden="1"/>
    </xf>
    <xf numFmtId="0" fontId="15" fillId="3" borderId="12" xfId="0" applyFont="1" applyFill="1" applyBorder="1" applyAlignment="1" applyProtection="1">
      <alignment horizontal="center" vertical="center" wrapText="1"/>
      <protection hidden="1"/>
    </xf>
    <xf numFmtId="0" fontId="15" fillId="3" borderId="56" xfId="0" applyFont="1" applyFill="1" applyBorder="1" applyAlignment="1" applyProtection="1">
      <alignment horizontal="center" vertical="center" wrapText="1"/>
      <protection hidden="1"/>
    </xf>
    <xf numFmtId="3" fontId="28" fillId="12" borderId="3" xfId="1" applyNumberFormat="1" applyFont="1" applyFill="1" applyBorder="1" applyAlignment="1" applyProtection="1">
      <alignment horizontal="center"/>
      <protection hidden="1"/>
    </xf>
    <xf numFmtId="164" fontId="3" fillId="2" borderId="3" xfId="3" applyFont="1" applyFill="1" applyBorder="1" applyAlignment="1" applyProtection="1">
      <alignment horizontal="center" vertical="center"/>
      <protection hidden="1"/>
    </xf>
    <xf numFmtId="0" fontId="2" fillId="6" borderId="49" xfId="0" applyFont="1" applyFill="1" applyBorder="1" applyAlignment="1" applyProtection="1">
      <alignment horizontal="center" vertical="center" wrapText="1"/>
      <protection locked="0"/>
    </xf>
    <xf numFmtId="0" fontId="2" fillId="6" borderId="98" xfId="0" applyFont="1" applyFill="1" applyBorder="1" applyAlignment="1" applyProtection="1">
      <alignment horizontal="center" vertical="center" wrapText="1"/>
      <protection locked="0"/>
    </xf>
    <xf numFmtId="0" fontId="2" fillId="6" borderId="50" xfId="0" applyFont="1" applyFill="1" applyBorder="1" applyAlignment="1" applyProtection="1">
      <alignment horizontal="center" vertical="center" wrapText="1"/>
      <protection locked="0"/>
    </xf>
    <xf numFmtId="3" fontId="7" fillId="0" borderId="2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wrapText="1"/>
      <protection hidden="1"/>
    </xf>
    <xf numFmtId="3" fontId="7" fillId="0" borderId="60" xfId="0" applyNumberFormat="1" applyFont="1" applyBorder="1" applyAlignment="1" applyProtection="1">
      <alignment horizontal="center" vertical="center"/>
      <protection hidden="1"/>
    </xf>
    <xf numFmtId="3" fontId="7" fillId="0" borderId="107" xfId="0" applyNumberFormat="1" applyFont="1" applyBorder="1" applyAlignment="1" applyProtection="1">
      <alignment horizontal="center" vertical="center"/>
      <protection hidden="1"/>
    </xf>
    <xf numFmtId="0" fontId="14" fillId="2" borderId="10" xfId="0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4" fillId="2" borderId="35" xfId="0" applyFont="1" applyFill="1" applyBorder="1" applyAlignment="1" applyProtection="1">
      <alignment horizontal="center" vertical="center" wrapText="1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3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5" borderId="70" xfId="0" applyFont="1" applyFill="1" applyBorder="1" applyAlignment="1" applyProtection="1">
      <alignment horizontal="center" vertical="center"/>
      <protection hidden="1"/>
    </xf>
    <xf numFmtId="0" fontId="13" fillId="5" borderId="73" xfId="0" applyFont="1" applyFill="1" applyBorder="1" applyAlignment="1" applyProtection="1">
      <alignment horizontal="center" vertical="center"/>
      <protection hidden="1"/>
    </xf>
    <xf numFmtId="0" fontId="13" fillId="5" borderId="74" xfId="0" applyFont="1" applyFill="1" applyBorder="1" applyAlignment="1" applyProtection="1">
      <alignment horizontal="center" vertical="center"/>
      <protection hidden="1"/>
    </xf>
    <xf numFmtId="0" fontId="13" fillId="5" borderId="75" xfId="0" applyFont="1" applyFill="1" applyBorder="1" applyAlignment="1" applyProtection="1">
      <alignment horizontal="center" vertical="center"/>
      <protection hidden="1"/>
    </xf>
    <xf numFmtId="0" fontId="13" fillId="5" borderId="0" xfId="0" applyFont="1" applyFill="1" applyAlignment="1" applyProtection="1">
      <alignment horizontal="center" vertical="center"/>
      <protection hidden="1"/>
    </xf>
    <xf numFmtId="0" fontId="13" fillId="5" borderId="65" xfId="0" applyFont="1" applyFill="1" applyBorder="1" applyAlignment="1" applyProtection="1">
      <alignment horizontal="center" vertical="center"/>
      <protection hidden="1"/>
    </xf>
    <xf numFmtId="0" fontId="13" fillId="5" borderId="55" xfId="0" applyFont="1" applyFill="1" applyBorder="1" applyAlignment="1" applyProtection="1">
      <alignment horizontal="center" vertical="center" wrapText="1"/>
      <protection hidden="1"/>
    </xf>
    <xf numFmtId="0" fontId="13" fillId="5" borderId="12" xfId="0" applyFont="1" applyFill="1" applyBorder="1" applyAlignment="1" applyProtection="1">
      <alignment horizontal="center" vertical="center" wrapText="1"/>
      <protection hidden="1"/>
    </xf>
    <xf numFmtId="0" fontId="13" fillId="5" borderId="56" xfId="0" applyFont="1" applyFill="1" applyBorder="1" applyAlignment="1" applyProtection="1">
      <alignment horizontal="center" vertical="center" wrapText="1"/>
      <protection hidden="1"/>
    </xf>
    <xf numFmtId="0" fontId="13" fillId="5" borderId="0" xfId="0" applyFont="1" applyFill="1" applyAlignment="1" applyProtection="1">
      <alignment horizontal="center" vertical="center" wrapText="1"/>
      <protection hidden="1"/>
    </xf>
    <xf numFmtId="0" fontId="13" fillId="5" borderId="4" xfId="0" applyFont="1" applyFill="1" applyBorder="1" applyAlignment="1" applyProtection="1">
      <alignment horizontal="center" vertical="center" wrapText="1"/>
      <protection hidden="1"/>
    </xf>
    <xf numFmtId="0" fontId="16" fillId="5" borderId="116" xfId="0" applyFont="1" applyFill="1" applyBorder="1" applyAlignment="1" applyProtection="1">
      <alignment horizontal="center" vertical="center"/>
      <protection hidden="1"/>
    </xf>
    <xf numFmtId="0" fontId="16" fillId="5" borderId="48" xfId="0" applyFont="1" applyFill="1" applyBorder="1" applyAlignment="1" applyProtection="1">
      <alignment horizontal="center" vertical="center"/>
      <protection hidden="1"/>
    </xf>
    <xf numFmtId="0" fontId="16" fillId="5" borderId="23" xfId="0" applyFont="1" applyFill="1" applyBorder="1" applyAlignment="1" applyProtection="1">
      <alignment horizontal="center" vertical="center"/>
      <protection hidden="1"/>
    </xf>
    <xf numFmtId="0" fontId="16" fillId="5" borderId="91" xfId="0" applyFont="1" applyFill="1" applyBorder="1" applyAlignment="1" applyProtection="1">
      <alignment horizontal="center" vertical="center"/>
      <protection hidden="1"/>
    </xf>
    <xf numFmtId="0" fontId="16" fillId="5" borderId="118" xfId="0" applyFont="1" applyFill="1" applyBorder="1" applyAlignment="1" applyProtection="1">
      <alignment horizontal="center" vertical="center"/>
      <protection hidden="1"/>
    </xf>
    <xf numFmtId="0" fontId="16" fillId="5" borderId="66" xfId="0" applyFont="1" applyFill="1" applyBorder="1" applyAlignment="1" applyProtection="1">
      <alignment horizontal="center" vertical="center" wrapText="1"/>
      <protection hidden="1"/>
    </xf>
    <xf numFmtId="0" fontId="16" fillId="5" borderId="58" xfId="0" applyFont="1" applyFill="1" applyBorder="1" applyAlignment="1" applyProtection="1">
      <alignment horizontal="center" vertical="center" wrapText="1"/>
      <protection hidden="1"/>
    </xf>
    <xf numFmtId="0" fontId="16" fillId="5" borderId="92" xfId="0" applyFont="1" applyFill="1" applyBorder="1" applyAlignment="1" applyProtection="1">
      <alignment horizontal="center" vertical="center" wrapText="1"/>
      <protection hidden="1"/>
    </xf>
    <xf numFmtId="0" fontId="16" fillId="5" borderId="93" xfId="0" applyFont="1" applyFill="1" applyBorder="1" applyAlignment="1" applyProtection="1">
      <alignment horizontal="center" vertical="center" wrapText="1"/>
      <protection hidden="1"/>
    </xf>
    <xf numFmtId="168" fontId="3" fillId="0" borderId="45" xfId="2" applyNumberFormat="1" applyFont="1" applyFill="1" applyBorder="1" applyAlignment="1" applyProtection="1">
      <alignment horizontal="center" vertical="center" wrapText="1"/>
      <protection hidden="1"/>
    </xf>
    <xf numFmtId="0" fontId="4" fillId="0" borderId="33" xfId="0" applyFont="1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/>
      <protection locked="0"/>
    </xf>
    <xf numFmtId="0" fontId="4" fillId="4" borderId="33" xfId="0" applyFont="1" applyFill="1" applyBorder="1" applyAlignment="1" applyProtection="1">
      <alignment horizontal="left"/>
      <protection locked="0"/>
    </xf>
    <xf numFmtId="0" fontId="4" fillId="4" borderId="12" xfId="0" applyFont="1" applyFill="1" applyBorder="1" applyAlignment="1" applyProtection="1">
      <alignment horizontal="left"/>
      <protection locked="0"/>
    </xf>
    <xf numFmtId="3" fontId="7" fillId="0" borderId="46" xfId="0" applyNumberFormat="1" applyFont="1" applyBorder="1" applyAlignment="1" applyProtection="1">
      <alignment horizontal="center" vertical="center"/>
      <protection hidden="1"/>
    </xf>
    <xf numFmtId="3" fontId="7" fillId="0" borderId="47" xfId="0" applyNumberFormat="1" applyFont="1" applyBorder="1" applyAlignment="1" applyProtection="1">
      <alignment horizontal="center" vertical="center"/>
      <protection hidden="1"/>
    </xf>
    <xf numFmtId="3" fontId="7" fillId="0" borderId="48" xfId="0" applyNumberFormat="1" applyFont="1" applyBorder="1" applyAlignment="1" applyProtection="1">
      <alignment horizontal="center" vertical="center"/>
      <protection hidden="1"/>
    </xf>
    <xf numFmtId="3" fontId="7" fillId="0" borderId="24" xfId="0" applyNumberFormat="1" applyFont="1" applyBorder="1" applyAlignment="1" applyProtection="1">
      <alignment horizontal="center" vertical="center"/>
      <protection hidden="1"/>
    </xf>
    <xf numFmtId="3" fontId="7" fillId="0" borderId="21" xfId="0" applyNumberFormat="1" applyFont="1" applyBorder="1" applyAlignment="1" applyProtection="1">
      <alignment horizontal="center" vertical="center"/>
      <protection hidden="1"/>
    </xf>
    <xf numFmtId="3" fontId="7" fillId="0" borderId="20" xfId="0" applyNumberFormat="1" applyFont="1" applyBorder="1" applyAlignment="1" applyProtection="1">
      <alignment horizontal="center" vertical="center"/>
      <protection hidden="1"/>
    </xf>
    <xf numFmtId="3" fontId="7" fillId="0" borderId="9" xfId="0" applyNumberFormat="1" applyFont="1" applyBorder="1" applyAlignment="1" applyProtection="1">
      <alignment horizontal="center" vertical="center" wrapText="1"/>
      <protection hidden="1"/>
    </xf>
    <xf numFmtId="0" fontId="16" fillId="5" borderId="14" xfId="0" applyFont="1" applyFill="1" applyBorder="1" applyAlignment="1" applyProtection="1">
      <alignment horizontal="center" vertical="center"/>
      <protection hidden="1"/>
    </xf>
    <xf numFmtId="0" fontId="16" fillId="5" borderId="24" xfId="0" applyFont="1" applyFill="1" applyBorder="1" applyAlignment="1" applyProtection="1">
      <alignment horizontal="center" vertical="center"/>
      <protection hidden="1"/>
    </xf>
    <xf numFmtId="0" fontId="17" fillId="5" borderId="21" xfId="0" quotePrefix="1" applyFont="1" applyFill="1" applyBorder="1" applyAlignment="1" applyProtection="1">
      <alignment horizontal="center" vertical="center"/>
      <protection hidden="1"/>
    </xf>
    <xf numFmtId="168" fontId="2" fillId="6" borderId="49" xfId="2" applyNumberFormat="1" applyFont="1" applyFill="1" applyBorder="1" applyAlignment="1" applyProtection="1">
      <alignment horizontal="center" vertical="center"/>
      <protection locked="0"/>
    </xf>
    <xf numFmtId="168" fontId="2" fillId="6" borderId="50" xfId="2" applyNumberFormat="1" applyFont="1" applyFill="1" applyBorder="1" applyAlignment="1" applyProtection="1">
      <alignment horizontal="center" vertical="center"/>
      <protection locked="0"/>
    </xf>
    <xf numFmtId="168" fontId="2" fillId="6" borderId="8" xfId="2" applyNumberFormat="1" applyFont="1" applyFill="1" applyBorder="1" applyAlignment="1" applyProtection="1">
      <alignment horizontal="center" vertical="center"/>
      <protection locked="0"/>
    </xf>
    <xf numFmtId="168" fontId="2" fillId="6" borderId="34" xfId="2" applyNumberFormat="1" applyFont="1" applyFill="1" applyBorder="1" applyAlignment="1" applyProtection="1">
      <alignment horizontal="center" vertical="center"/>
      <protection locked="0"/>
    </xf>
    <xf numFmtId="168" fontId="2" fillId="6" borderId="60" xfId="2" applyNumberFormat="1" applyFont="1" applyFill="1" applyBorder="1" applyAlignment="1" applyProtection="1">
      <alignment horizontal="center" vertical="center"/>
      <protection locked="0"/>
    </xf>
    <xf numFmtId="168" fontId="2" fillId="6" borderId="37" xfId="2" applyNumberFormat="1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3" fontId="7" fillId="0" borderId="36" xfId="0" applyNumberFormat="1" applyFont="1" applyBorder="1" applyAlignment="1" applyProtection="1">
      <alignment horizontal="center" vertical="center"/>
      <protection hidden="1"/>
    </xf>
    <xf numFmtId="3" fontId="7" fillId="0" borderId="23" xfId="0" applyNumberFormat="1" applyFont="1" applyBorder="1" applyAlignment="1" applyProtection="1">
      <alignment horizontal="center" vertical="center"/>
      <protection hidden="1"/>
    </xf>
    <xf numFmtId="0" fontId="16" fillId="5" borderId="52" xfId="0" applyFont="1" applyFill="1" applyBorder="1" applyAlignment="1" applyProtection="1">
      <alignment horizontal="center" vertical="center"/>
      <protection hidden="1"/>
    </xf>
    <xf numFmtId="0" fontId="16" fillId="5" borderId="54" xfId="0" applyFont="1" applyFill="1" applyBorder="1" applyAlignment="1" applyProtection="1">
      <alignment horizontal="center" vertical="center"/>
      <protection hidden="1"/>
    </xf>
    <xf numFmtId="0" fontId="16" fillId="5" borderId="53" xfId="0" applyFont="1" applyFill="1" applyBorder="1" applyAlignment="1" applyProtection="1">
      <alignment horizontal="center" vertical="center"/>
      <protection hidden="1"/>
    </xf>
    <xf numFmtId="4" fontId="3" fillId="0" borderId="8" xfId="0" applyNumberFormat="1" applyFont="1" applyBorder="1" applyAlignment="1" applyProtection="1">
      <alignment horizontal="right"/>
      <protection hidden="1"/>
    </xf>
    <xf numFmtId="4" fontId="3" fillId="0" borderId="34" xfId="0" applyNumberFormat="1" applyFont="1" applyBorder="1" applyAlignment="1" applyProtection="1">
      <alignment horizontal="right"/>
      <protection hidden="1"/>
    </xf>
    <xf numFmtId="165" fontId="3" fillId="0" borderId="8" xfId="2" applyFont="1" applyFill="1" applyBorder="1" applyAlignment="1" applyProtection="1">
      <alignment horizontal="right"/>
      <protection hidden="1"/>
    </xf>
    <xf numFmtId="165" fontId="3" fillId="0" borderId="33" xfId="2" applyFont="1" applyFill="1" applyBorder="1" applyAlignment="1" applyProtection="1">
      <alignment horizontal="right"/>
      <protection hidden="1"/>
    </xf>
    <xf numFmtId="165" fontId="3" fillId="0" borderId="34" xfId="2" applyFont="1" applyFill="1" applyBorder="1" applyAlignment="1" applyProtection="1">
      <alignment horizontal="right"/>
      <protection hidden="1"/>
    </xf>
    <xf numFmtId="0" fontId="16" fillId="5" borderId="84" xfId="0" applyFont="1" applyFill="1" applyBorder="1" applyAlignment="1" applyProtection="1">
      <alignment horizontal="center" vertical="center"/>
      <protection hidden="1"/>
    </xf>
    <xf numFmtId="0" fontId="16" fillId="5" borderId="85" xfId="0" applyFont="1" applyFill="1" applyBorder="1" applyAlignment="1" applyProtection="1">
      <alignment horizontal="center" vertical="center"/>
      <protection hidden="1"/>
    </xf>
    <xf numFmtId="0" fontId="40" fillId="5" borderId="112" xfId="0" applyFont="1" applyFill="1" applyBorder="1" applyAlignment="1" applyProtection="1">
      <alignment horizontal="center" textRotation="90" wrapText="1"/>
      <protection hidden="1"/>
    </xf>
    <xf numFmtId="0" fontId="40" fillId="5" borderId="41" xfId="0" applyFont="1" applyFill="1" applyBorder="1" applyAlignment="1" applyProtection="1">
      <alignment horizontal="center" textRotation="90" wrapText="1"/>
      <protection hidden="1"/>
    </xf>
    <xf numFmtId="0" fontId="40" fillId="5" borderId="84" xfId="0" applyFont="1" applyFill="1" applyBorder="1" applyAlignment="1" applyProtection="1">
      <alignment horizontal="center" textRotation="90" wrapText="1"/>
      <protection hidden="1"/>
    </xf>
    <xf numFmtId="0" fontId="16" fillId="5" borderId="86" xfId="0" applyFont="1" applyFill="1" applyBorder="1" applyAlignment="1" applyProtection="1">
      <alignment horizontal="center" vertical="center" wrapText="1"/>
      <protection hidden="1"/>
    </xf>
    <xf numFmtId="0" fontId="16" fillId="5" borderId="87" xfId="0" applyFont="1" applyFill="1" applyBorder="1" applyAlignment="1" applyProtection="1">
      <alignment horizontal="center" vertical="center" wrapText="1"/>
      <protection hidden="1"/>
    </xf>
    <xf numFmtId="0" fontId="16" fillId="5" borderId="88" xfId="0" applyFont="1" applyFill="1" applyBorder="1" applyAlignment="1" applyProtection="1">
      <alignment horizontal="center" vertical="center" wrapText="1"/>
      <protection hidden="1"/>
    </xf>
    <xf numFmtId="0" fontId="16" fillId="5" borderId="47" xfId="0" applyFont="1" applyFill="1" applyBorder="1" applyAlignment="1" applyProtection="1">
      <alignment horizontal="center" vertical="center"/>
      <protection hidden="1"/>
    </xf>
    <xf numFmtId="0" fontId="16" fillId="5" borderId="115" xfId="0" applyFont="1" applyFill="1" applyBorder="1" applyAlignment="1" applyProtection="1">
      <alignment horizontal="center" vertical="center"/>
      <protection hidden="1"/>
    </xf>
    <xf numFmtId="0" fontId="21" fillId="8" borderId="61" xfId="1" applyFill="1" applyBorder="1" applyAlignment="1" applyProtection="1">
      <alignment horizontal="center"/>
      <protection hidden="1"/>
    </xf>
    <xf numFmtId="0" fontId="13" fillId="5" borderId="40" xfId="0" applyFont="1" applyFill="1" applyBorder="1" applyAlignment="1" applyProtection="1">
      <alignment horizontal="center" vertical="center" wrapText="1"/>
      <protection hidden="1"/>
    </xf>
    <xf numFmtId="0" fontId="13" fillId="5" borderId="41" xfId="0" applyFont="1" applyFill="1" applyBorder="1" applyAlignment="1" applyProtection="1">
      <alignment horizontal="center" vertical="center" wrapText="1"/>
      <protection hidden="1"/>
    </xf>
    <xf numFmtId="0" fontId="13" fillId="5" borderId="42" xfId="0" applyFont="1" applyFill="1" applyBorder="1" applyAlignment="1" applyProtection="1">
      <alignment horizontal="center" vertical="center" wrapText="1"/>
      <protection hidden="1"/>
    </xf>
    <xf numFmtId="0" fontId="16" fillId="5" borderId="42" xfId="0" applyFont="1" applyFill="1" applyBorder="1" applyAlignment="1" applyProtection="1">
      <alignment horizontal="center" vertical="center" wrapText="1"/>
      <protection hidden="1"/>
    </xf>
    <xf numFmtId="0" fontId="16" fillId="5" borderId="4" xfId="0" applyFont="1" applyFill="1" applyBorder="1" applyAlignment="1" applyProtection="1">
      <alignment horizontal="center" vertical="center" wrapText="1"/>
      <protection hidden="1"/>
    </xf>
    <xf numFmtId="0" fontId="16" fillId="5" borderId="35" xfId="0" applyFont="1" applyFill="1" applyBorder="1" applyAlignment="1" applyProtection="1">
      <alignment horizontal="center" vertical="center" wrapText="1"/>
      <protection hidden="1"/>
    </xf>
    <xf numFmtId="0" fontId="14" fillId="2" borderId="8" xfId="0" applyFont="1" applyFill="1" applyBorder="1" applyAlignment="1" applyProtection="1">
      <alignment horizontal="center" vertical="center" wrapText="1"/>
      <protection locked="0"/>
    </xf>
    <xf numFmtId="0" fontId="14" fillId="2" borderId="33" xfId="0" applyFont="1" applyFill="1" applyBorder="1" applyAlignment="1" applyProtection="1">
      <alignment horizontal="center" vertical="center" wrapText="1"/>
      <protection locked="0"/>
    </xf>
    <xf numFmtId="0" fontId="14" fillId="2" borderId="34" xfId="0" applyFont="1" applyFill="1" applyBorder="1" applyAlignment="1" applyProtection="1">
      <alignment horizontal="center" vertical="center" wrapText="1"/>
      <protection locked="0"/>
    </xf>
    <xf numFmtId="0" fontId="13" fillId="5" borderId="43" xfId="0" applyFont="1" applyFill="1" applyBorder="1" applyAlignment="1" applyProtection="1">
      <alignment horizontal="center" vertical="center" wrapText="1"/>
      <protection hidden="1"/>
    </xf>
    <xf numFmtId="0" fontId="13" fillId="5" borderId="44" xfId="0" applyFont="1" applyFill="1" applyBorder="1" applyAlignment="1" applyProtection="1">
      <alignment horizontal="center" vertical="center" wrapText="1"/>
      <protection hidden="1"/>
    </xf>
    <xf numFmtId="0" fontId="9" fillId="4" borderId="0" xfId="5" applyFont="1" applyFill="1" applyAlignment="1">
      <alignment horizontal="left" vertical="center" wrapText="1"/>
    </xf>
    <xf numFmtId="0" fontId="24" fillId="4" borderId="8" xfId="5" applyFill="1" applyBorder="1" applyAlignment="1" applyProtection="1">
      <alignment horizontal="center"/>
      <protection locked="0"/>
    </xf>
    <xf numFmtId="0" fontId="24" fillId="4" borderId="34" xfId="5" applyFill="1" applyBorder="1" applyAlignment="1" applyProtection="1">
      <alignment horizontal="center"/>
      <protection locked="0"/>
    </xf>
    <xf numFmtId="0" fontId="26" fillId="4" borderId="32" xfId="5" applyFont="1" applyFill="1" applyBorder="1" applyAlignment="1">
      <alignment horizontal="center"/>
    </xf>
    <xf numFmtId="0" fontId="26" fillId="4" borderId="61" xfId="5" applyFont="1" applyFill="1" applyBorder="1" applyAlignment="1">
      <alignment horizontal="center"/>
    </xf>
    <xf numFmtId="0" fontId="26" fillId="4" borderId="81" xfId="5" applyFont="1" applyFill="1" applyBorder="1" applyAlignment="1">
      <alignment horizontal="center"/>
    </xf>
    <xf numFmtId="0" fontId="24" fillId="4" borderId="4" xfId="5" applyFill="1" applyBorder="1" applyAlignment="1" applyProtection="1">
      <alignment horizontal="center"/>
      <protection locked="0"/>
    </xf>
    <xf numFmtId="0" fontId="24" fillId="4" borderId="35" xfId="5" applyFill="1" applyBorder="1" applyAlignment="1" applyProtection="1">
      <alignment horizontal="center"/>
      <protection locked="0"/>
    </xf>
    <xf numFmtId="0" fontId="24" fillId="4" borderId="78" xfId="5" applyFill="1" applyBorder="1" applyAlignment="1" applyProtection="1">
      <alignment horizontal="center"/>
      <protection locked="0"/>
    </xf>
    <xf numFmtId="0" fontId="24" fillId="4" borderId="79" xfId="5" applyFill="1" applyBorder="1" applyAlignment="1" applyProtection="1">
      <alignment horizontal="center"/>
      <protection locked="0"/>
    </xf>
    <xf numFmtId="0" fontId="3" fillId="4" borderId="24" xfId="5" quotePrefix="1" applyFont="1" applyFill="1" applyBorder="1" applyAlignment="1">
      <alignment horizontal="center"/>
    </xf>
    <xf numFmtId="0" fontId="3" fillId="4" borderId="21" xfId="5" quotePrefix="1" applyFont="1" applyFill="1" applyBorder="1" applyAlignment="1">
      <alignment horizontal="center"/>
    </xf>
    <xf numFmtId="0" fontId="3" fillId="4" borderId="38" xfId="5" quotePrefix="1" applyFont="1" applyFill="1" applyBorder="1" applyAlignment="1">
      <alignment horizontal="center"/>
    </xf>
    <xf numFmtId="0" fontId="3" fillId="4" borderId="80" xfId="5" quotePrefix="1" applyFont="1" applyFill="1" applyBorder="1" applyAlignment="1">
      <alignment horizontal="center"/>
    </xf>
    <xf numFmtId="0" fontId="3" fillId="4" borderId="4" xfId="5" quotePrefix="1" applyFont="1" applyFill="1" applyBorder="1" applyAlignment="1" applyProtection="1">
      <alignment horizontal="left"/>
      <protection hidden="1"/>
    </xf>
    <xf numFmtId="14" fontId="24" fillId="4" borderId="8" xfId="5" applyNumberFormat="1" applyFill="1" applyBorder="1" applyAlignment="1" applyProtection="1">
      <alignment horizontal="center"/>
      <protection locked="0"/>
    </xf>
    <xf numFmtId="14" fontId="24" fillId="4" borderId="34" xfId="5" applyNumberFormat="1" applyFill="1" applyBorder="1" applyAlignment="1" applyProtection="1">
      <alignment horizontal="center"/>
      <protection locked="0"/>
    </xf>
    <xf numFmtId="0" fontId="51" fillId="13" borderId="0" xfId="1" applyFont="1" applyFill="1" applyAlignment="1" applyProtection="1">
      <alignment horizontal="center" vertical="center" wrapText="1"/>
    </xf>
    <xf numFmtId="0" fontId="26" fillId="4" borderId="0" xfId="5" applyFont="1" applyFill="1" applyAlignment="1">
      <alignment horizontal="center"/>
    </xf>
    <xf numFmtId="0" fontId="18" fillId="3" borderId="46" xfId="5" applyFont="1" applyFill="1" applyBorder="1" applyAlignment="1">
      <alignment horizontal="center"/>
    </xf>
    <xf numFmtId="0" fontId="18" fillId="3" borderId="47" xfId="5" applyFont="1" applyFill="1" applyBorder="1" applyAlignment="1">
      <alignment horizontal="center"/>
    </xf>
    <xf numFmtId="0" fontId="18" fillId="3" borderId="48" xfId="5" applyFont="1" applyFill="1" applyBorder="1" applyAlignment="1">
      <alignment horizontal="center"/>
    </xf>
    <xf numFmtId="0" fontId="26" fillId="4" borderId="0" xfId="5" applyFont="1" applyFill="1" applyAlignment="1">
      <alignment horizontal="center" vertical="center" wrapText="1"/>
    </xf>
    <xf numFmtId="0" fontId="27" fillId="3" borderId="14" xfId="5" applyFont="1" applyFill="1" applyBorder="1" applyAlignment="1">
      <alignment horizontal="center"/>
    </xf>
    <xf numFmtId="0" fontId="27" fillId="3" borderId="0" xfId="5" applyFont="1" applyFill="1" applyAlignment="1">
      <alignment horizontal="center"/>
    </xf>
    <xf numFmtId="0" fontId="27" fillId="3" borderId="23" xfId="5" applyFont="1" applyFill="1" applyBorder="1" applyAlignment="1">
      <alignment horizontal="center"/>
    </xf>
    <xf numFmtId="0" fontId="7" fillId="4" borderId="32" xfId="5" applyFont="1" applyFill="1" applyBorder="1" applyAlignment="1">
      <alignment horizontal="center"/>
    </xf>
    <xf numFmtId="0" fontId="7" fillId="4" borderId="18" xfId="5" applyFont="1" applyFill="1" applyBorder="1" applyAlignment="1">
      <alignment horizontal="center"/>
    </xf>
    <xf numFmtId="0" fontId="18" fillId="3" borderId="46" xfId="5" quotePrefix="1" applyFont="1" applyFill="1" applyBorder="1" applyAlignment="1">
      <alignment horizontal="center" vertical="center" wrapText="1"/>
    </xf>
    <xf numFmtId="0" fontId="18" fillId="3" borderId="47" xfId="5" quotePrefix="1" applyFont="1" applyFill="1" applyBorder="1" applyAlignment="1">
      <alignment horizontal="center" vertical="center" wrapText="1"/>
    </xf>
    <xf numFmtId="0" fontId="18" fillId="3" borderId="47" xfId="5" applyFont="1" applyFill="1" applyBorder="1" applyAlignment="1">
      <alignment horizontal="center" vertical="center" wrapText="1"/>
    </xf>
    <xf numFmtId="0" fontId="18" fillId="3" borderId="48" xfId="5" applyFont="1" applyFill="1" applyBorder="1" applyAlignment="1">
      <alignment horizontal="center" vertical="center" wrapText="1"/>
    </xf>
    <xf numFmtId="0" fontId="27" fillId="3" borderId="14" xfId="5" quotePrefix="1" applyFont="1" applyFill="1" applyBorder="1" applyAlignment="1">
      <alignment horizontal="center" vertical="center" wrapText="1"/>
    </xf>
    <xf numFmtId="0" fontId="27" fillId="3" borderId="0" xfId="5" quotePrefix="1" applyFont="1" applyFill="1" applyAlignment="1">
      <alignment horizontal="center" vertical="center" wrapText="1"/>
    </xf>
    <xf numFmtId="0" fontId="27" fillId="3" borderId="0" xfId="5" applyFont="1" applyFill="1" applyAlignment="1">
      <alignment horizontal="center" vertical="center" wrapText="1"/>
    </xf>
    <xf numFmtId="0" fontId="27" fillId="3" borderId="23" xfId="5" applyFont="1" applyFill="1" applyBorder="1" applyAlignment="1">
      <alignment horizontal="center" vertical="center" wrapText="1"/>
    </xf>
    <xf numFmtId="0" fontId="13" fillId="5" borderId="0" xfId="5" applyFont="1" applyFill="1" applyAlignment="1">
      <alignment horizontal="center"/>
    </xf>
    <xf numFmtId="0" fontId="13" fillId="5" borderId="8" xfId="5" applyFont="1" applyFill="1" applyBorder="1" applyAlignment="1">
      <alignment horizontal="center"/>
    </xf>
    <xf numFmtId="0" fontId="13" fillId="5" borderId="34" xfId="5" applyFont="1" applyFill="1" applyBorder="1" applyAlignment="1">
      <alignment horizontal="center"/>
    </xf>
  </cellXfs>
  <cellStyles count="7">
    <cellStyle name="Hipervínculo" xfId="1" builtinId="8"/>
    <cellStyle name="Millares" xfId="2" builtinId="3"/>
    <cellStyle name="Millares [0]" xfId="3" builtinId="6"/>
    <cellStyle name="Normal" xfId="0" builtinId="0"/>
    <cellStyle name="Normal 2" xfId="4" xr:uid="{00000000-0005-0000-0000-000004000000}"/>
    <cellStyle name="Normal_RELACION FACTURAS POR COMISION" xfId="5" xr:uid="{00000000-0005-0000-0000-000005000000}"/>
    <cellStyle name="Porcentaje" xfId="6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fgColor indexed="9"/>
          <bgColor indexed="9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FFCC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ndense val="0"/>
        <extend val="0"/>
        <color auto="1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auto="1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auto="1"/>
      </font>
      <fill>
        <patternFill>
          <fgColor indexed="9"/>
          <bgColor indexed="9"/>
        </patternFill>
      </fill>
    </dxf>
    <dxf>
      <font>
        <condense val="0"/>
        <extend val="0"/>
        <color indexed="9"/>
      </font>
    </dxf>
    <dxf>
      <font>
        <condense val="0"/>
        <extend val="0"/>
        <color auto="1"/>
      </font>
      <fill>
        <patternFill>
          <fgColor indexed="9"/>
          <bgColor indexed="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186121</xdr:colOff>
      <xdr:row>1</xdr:row>
      <xdr:rowOff>21897</xdr:rowOff>
    </xdr:from>
    <xdr:to>
      <xdr:col>6</xdr:col>
      <xdr:colOff>233746</xdr:colOff>
      <xdr:row>5</xdr:row>
      <xdr:rowOff>181413</xdr:rowOff>
    </xdr:to>
    <xdr:pic>
      <xdr:nvPicPr>
        <xdr:cNvPr id="3" name="Picture 5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431" y="229914"/>
          <a:ext cx="1591332" cy="121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57150</xdr:rowOff>
    </xdr:from>
    <xdr:to>
      <xdr:col>2</xdr:col>
      <xdr:colOff>2181882</xdr:colOff>
      <xdr:row>0</xdr:row>
      <xdr:rowOff>1267701</xdr:rowOff>
    </xdr:to>
    <xdr:pic>
      <xdr:nvPicPr>
        <xdr:cNvPr id="11" name="Picture 57">
          <a:extLst>
            <a:ext uri="{FF2B5EF4-FFF2-40B4-BE49-F238E27FC236}">
              <a16:creationId xmlns:a16="http://schemas.microsoft.com/office/drawing/2014/main" id="{1BA85FED-FE89-4262-A3A1-998F8A898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57150"/>
          <a:ext cx="1591332" cy="1210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866775</xdr:colOff>
      <xdr:row>1</xdr:row>
      <xdr:rowOff>123825</xdr:rowOff>
    </xdr:from>
    <xdr:to>
      <xdr:col>2</xdr:col>
      <xdr:colOff>1789526</xdr:colOff>
      <xdr:row>2</xdr:row>
      <xdr:rowOff>39236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8E6C7F9-FFC7-476A-8F26-71916B3A8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1495425"/>
          <a:ext cx="922751" cy="1001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76200</xdr:rowOff>
    </xdr:from>
    <xdr:to>
      <xdr:col>2</xdr:col>
      <xdr:colOff>1104900</xdr:colOff>
      <xdr:row>4</xdr:row>
      <xdr:rowOff>152400</xdr:rowOff>
    </xdr:to>
    <xdr:pic>
      <xdr:nvPicPr>
        <xdr:cNvPr id="7532" name="Picture 1">
          <a:extLst>
            <a:ext uri="{FF2B5EF4-FFF2-40B4-BE49-F238E27FC236}">
              <a16:creationId xmlns:a16="http://schemas.microsoft.com/office/drawing/2014/main" id="{DAB052BD-1D1C-3C22-0A60-E13696B7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6200"/>
          <a:ext cx="10382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B1:IC2043"/>
  <sheetViews>
    <sheetView showGridLines="0" tabSelected="1" zoomScaleNormal="100" workbookViewId="0">
      <selection activeCell="P28" sqref="P28:R28"/>
    </sheetView>
  </sheetViews>
  <sheetFormatPr baseColWidth="10" defaultRowHeight="10.5"/>
  <cols>
    <col min="1" max="1" width="3.6640625" style="20" customWidth="1"/>
    <col min="2" max="2" width="6.33203125" style="20" customWidth="1"/>
    <col min="3" max="3" width="13.1640625" style="20" customWidth="1"/>
    <col min="4" max="4" width="4.5" style="20" customWidth="1"/>
    <col min="5" max="5" width="4.6640625" style="20" customWidth="1"/>
    <col min="6" max="6" width="4.83203125" style="20" customWidth="1"/>
    <col min="7" max="7" width="5.6640625" style="20" customWidth="1"/>
    <col min="8" max="8" width="6.6640625" style="20" customWidth="1"/>
    <col min="9" max="9" width="6" style="20" customWidth="1"/>
    <col min="10" max="10" width="6.83203125" style="20" customWidth="1"/>
    <col min="11" max="11" width="6" style="20" customWidth="1"/>
    <col min="12" max="12" width="14.1640625" style="20" customWidth="1"/>
    <col min="13" max="13" width="16.5" style="20" customWidth="1"/>
    <col min="14" max="14" width="11.83203125" style="20" customWidth="1"/>
    <col min="15" max="16" width="6.5" style="20" customWidth="1"/>
    <col min="17" max="17" width="10.83203125" style="20" customWidth="1"/>
    <col min="18" max="19" width="11" style="20" customWidth="1"/>
    <col min="20" max="20" width="14" style="20" customWidth="1"/>
    <col min="21" max="21" width="6.6640625" style="20" customWidth="1"/>
    <col min="22" max="22" width="8" style="20" customWidth="1"/>
    <col min="23" max="23" width="5.33203125" style="20" customWidth="1"/>
    <col min="24" max="24" width="10.33203125" style="20" customWidth="1"/>
    <col min="25" max="25" width="8.5" style="20" customWidth="1"/>
    <col min="26" max="26" width="20.33203125" style="20" customWidth="1"/>
    <col min="27" max="27" width="16.5" style="20" bestFit="1" customWidth="1"/>
    <col min="28" max="28" width="14.83203125" style="20" bestFit="1" customWidth="1"/>
    <col min="29" max="29" width="14.5" style="20" customWidth="1"/>
    <col min="30" max="30" width="13.83203125" style="20" hidden="1" customWidth="1"/>
    <col min="31" max="32" width="0" style="20" hidden="1" customWidth="1"/>
    <col min="33" max="33" width="3.1640625" style="20" hidden="1" customWidth="1"/>
    <col min="34" max="34" width="17" style="20" hidden="1" customWidth="1"/>
    <col min="35" max="35" width="15.5" style="20" hidden="1" customWidth="1"/>
    <col min="36" max="36" width="15.5" style="20" customWidth="1"/>
    <col min="37" max="37" width="14.83203125" style="20" hidden="1" customWidth="1"/>
    <col min="38" max="42" width="0" style="20" hidden="1" customWidth="1"/>
    <col min="43" max="16384" width="12" style="20"/>
  </cols>
  <sheetData>
    <row r="1" spans="2:236" ht="16.5" customHeight="1">
      <c r="B1" s="150"/>
      <c r="C1" s="46"/>
      <c r="D1" s="61"/>
      <c r="E1" s="61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29"/>
      <c r="IB1" s="166" t="s">
        <v>300</v>
      </c>
    </row>
    <row r="2" spans="2:236" ht="21.75" customHeight="1">
      <c r="B2" s="151"/>
      <c r="C2" s="260" t="str">
        <f>+VLOOKUP(H2,LOGOS!$A:$C,2,0)</f>
        <v>LOGOFNC</v>
      </c>
      <c r="D2" s="261"/>
      <c r="E2" s="261"/>
      <c r="F2" s="261"/>
      <c r="G2" s="262"/>
      <c r="H2" s="251" t="s">
        <v>275</v>
      </c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69" t="s">
        <v>276</v>
      </c>
      <c r="V2" s="270"/>
      <c r="W2" s="276" t="s">
        <v>784</v>
      </c>
      <c r="X2" s="277"/>
      <c r="Y2" s="46"/>
      <c r="IB2" s="166" t="s">
        <v>285</v>
      </c>
    </row>
    <row r="3" spans="2:236" ht="16.5" customHeight="1">
      <c r="B3" s="46"/>
      <c r="C3" s="263"/>
      <c r="D3" s="264"/>
      <c r="E3" s="264"/>
      <c r="F3" s="264"/>
      <c r="G3" s="265"/>
      <c r="H3" s="253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71"/>
      <c r="V3" s="272"/>
      <c r="W3" s="278"/>
      <c r="X3" s="279"/>
      <c r="Y3" s="46"/>
      <c r="AA3" s="152"/>
      <c r="IB3" s="166" t="s">
        <v>785</v>
      </c>
    </row>
    <row r="4" spans="2:236" ht="21" customHeight="1" thickBot="1">
      <c r="B4" s="46"/>
      <c r="C4" s="263"/>
      <c r="D4" s="264"/>
      <c r="E4" s="264"/>
      <c r="F4" s="264"/>
      <c r="G4" s="265"/>
      <c r="H4" s="255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73" t="s">
        <v>277</v>
      </c>
      <c r="V4" s="274"/>
      <c r="W4" s="276">
        <v>46087</v>
      </c>
      <c r="X4" s="277"/>
      <c r="Y4" s="29"/>
      <c r="AK4" s="250" t="s">
        <v>278</v>
      </c>
      <c r="AL4" s="250"/>
      <c r="AM4" s="250"/>
      <c r="AN4" s="250"/>
      <c r="AO4" s="250"/>
      <c r="AP4" s="250"/>
      <c r="IB4" s="166" t="s">
        <v>301</v>
      </c>
    </row>
    <row r="5" spans="2:236" ht="24" customHeight="1" thickBot="1">
      <c r="B5" s="46"/>
      <c r="C5" s="263"/>
      <c r="D5" s="264"/>
      <c r="E5" s="264"/>
      <c r="F5" s="264"/>
      <c r="G5" s="265"/>
      <c r="H5" s="287" t="s">
        <v>283</v>
      </c>
      <c r="I5" s="287"/>
      <c r="J5" s="287"/>
      <c r="K5" s="287"/>
      <c r="L5" s="287"/>
      <c r="M5" s="287"/>
      <c r="N5" s="287"/>
      <c r="O5" s="405" t="s">
        <v>285</v>
      </c>
      <c r="P5" s="406"/>
      <c r="Q5" s="406"/>
      <c r="R5" s="406"/>
      <c r="S5" s="406"/>
      <c r="T5" s="407"/>
      <c r="U5" s="157"/>
      <c r="V5" s="157"/>
      <c r="W5" s="302" t="s">
        <v>834</v>
      </c>
      <c r="X5" s="303"/>
      <c r="Y5" s="46"/>
      <c r="AA5" s="500" t="s">
        <v>48</v>
      </c>
      <c r="AB5" s="500"/>
      <c r="IB5" s="166" t="s">
        <v>786</v>
      </c>
    </row>
    <row r="6" spans="2:236" ht="16.5" customHeight="1">
      <c r="B6" s="46"/>
      <c r="C6" s="266"/>
      <c r="D6" s="267"/>
      <c r="E6" s="267"/>
      <c r="F6" s="267"/>
      <c r="G6" s="268"/>
      <c r="H6" s="287"/>
      <c r="I6" s="287"/>
      <c r="J6" s="287"/>
      <c r="K6" s="287"/>
      <c r="L6" s="287"/>
      <c r="M6" s="287"/>
      <c r="N6" s="287"/>
      <c r="O6" s="408"/>
      <c r="P6" s="409"/>
      <c r="Q6" s="409"/>
      <c r="R6" s="409"/>
      <c r="S6" s="409"/>
      <c r="T6" s="410"/>
      <c r="U6" s="158"/>
      <c r="V6" s="158"/>
      <c r="W6" s="304"/>
      <c r="X6" s="305"/>
      <c r="Y6" s="54"/>
      <c r="Z6" s="26"/>
      <c r="AK6" s="250" t="s">
        <v>278</v>
      </c>
      <c r="AL6" s="250"/>
      <c r="AM6" s="250"/>
      <c r="AN6" s="250"/>
      <c r="AO6" s="250"/>
      <c r="AP6" s="250"/>
    </row>
    <row r="7" spans="2:236" ht="29.25" customHeight="1">
      <c r="B7" s="46"/>
      <c r="C7" s="46"/>
      <c r="D7" s="46"/>
      <c r="E7" s="46"/>
      <c r="F7" s="46" t="s">
        <v>5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5"/>
      <c r="S7" s="46"/>
      <c r="T7" s="46"/>
      <c r="U7" s="46"/>
      <c r="V7" s="411" t="s">
        <v>16</v>
      </c>
      <c r="W7" s="411"/>
      <c r="X7" s="411"/>
      <c r="Y7" s="46"/>
    </row>
    <row r="8" spans="2:236" ht="24" customHeight="1">
      <c r="B8" s="46"/>
      <c r="C8" s="46"/>
      <c r="D8" s="393" t="s">
        <v>14</v>
      </c>
      <c r="E8" s="393"/>
      <c r="F8" s="393"/>
      <c r="G8" s="393"/>
      <c r="H8" s="393"/>
      <c r="I8" s="393"/>
      <c r="J8" s="415"/>
      <c r="K8" s="415"/>
      <c r="L8" s="415"/>
      <c r="M8" s="415"/>
      <c r="N8" s="415"/>
      <c r="O8" s="415"/>
      <c r="P8" s="415"/>
      <c r="Q8" s="149"/>
      <c r="R8" s="149" t="str">
        <f>IF(J8=0,"V",VLOOKUP(J8,DATA!A:B,2,0))</f>
        <v>V</v>
      </c>
      <c r="S8" s="391" t="s">
        <v>15</v>
      </c>
      <c r="T8" s="391"/>
      <c r="U8" s="391"/>
      <c r="V8" s="392"/>
      <c r="W8" s="392"/>
      <c r="X8" s="392"/>
      <c r="Y8" s="46"/>
      <c r="AE8" s="199" t="s">
        <v>180</v>
      </c>
      <c r="AF8" s="200"/>
      <c r="AG8" s="200"/>
      <c r="AH8" s="200"/>
    </row>
    <row r="9" spans="2:236" ht="31.5" customHeight="1">
      <c r="B9" s="46"/>
      <c r="C9" s="46"/>
      <c r="D9" s="393" t="s">
        <v>155</v>
      </c>
      <c r="E9" s="393"/>
      <c r="F9" s="393"/>
      <c r="G9" s="393"/>
      <c r="H9" s="393"/>
      <c r="I9" s="393"/>
      <c r="J9" s="415"/>
      <c r="K9" s="415"/>
      <c r="L9" s="415"/>
      <c r="M9" s="415"/>
      <c r="N9" s="415"/>
      <c r="O9" s="415"/>
      <c r="P9" s="415"/>
      <c r="Q9" s="149"/>
      <c r="R9" s="46"/>
      <c r="S9" s="391" t="s">
        <v>282</v>
      </c>
      <c r="T9" s="391"/>
      <c r="U9" s="391"/>
      <c r="V9" s="403"/>
      <c r="W9" s="403"/>
      <c r="X9" s="403"/>
      <c r="Y9" s="46"/>
      <c r="AF9" s="201" t="s">
        <v>90</v>
      </c>
      <c r="AG9" s="202"/>
      <c r="AH9" s="202"/>
    </row>
    <row r="10" spans="2:236" ht="17.100000000000001" customHeight="1" thickBot="1">
      <c r="B10" s="46"/>
      <c r="C10" s="46"/>
      <c r="D10" s="63"/>
      <c r="E10" s="63"/>
      <c r="F10" s="63"/>
      <c r="G10" s="63"/>
      <c r="H10" s="64"/>
      <c r="I10" s="64"/>
      <c r="J10" s="64"/>
      <c r="K10" s="64"/>
      <c r="L10" s="64"/>
      <c r="M10" s="64"/>
      <c r="N10" s="65"/>
      <c r="O10" s="64"/>
      <c r="P10" s="64"/>
      <c r="Q10" s="64"/>
      <c r="R10" s="46"/>
      <c r="S10" s="66"/>
      <c r="T10" s="67"/>
      <c r="U10" s="67"/>
      <c r="V10" s="5"/>
      <c r="W10" s="67"/>
      <c r="X10" s="68"/>
      <c r="Y10" s="46"/>
      <c r="AE10" s="21"/>
      <c r="AF10" s="22" t="s">
        <v>87</v>
      </c>
      <c r="AG10" s="22" t="s">
        <v>88</v>
      </c>
      <c r="AH10" s="22" t="s">
        <v>89</v>
      </c>
    </row>
    <row r="11" spans="2:236" ht="17.100000000000001" customHeight="1" thickBot="1">
      <c r="B11" s="46"/>
      <c r="C11" s="400" t="s">
        <v>181</v>
      </c>
      <c r="D11" s="401"/>
      <c r="E11" s="401"/>
      <c r="F11" s="401"/>
      <c r="G11" s="401"/>
      <c r="H11" s="401"/>
      <c r="I11" s="401"/>
      <c r="J11" s="401"/>
      <c r="K11" s="401"/>
      <c r="L11" s="401"/>
      <c r="M11" s="401"/>
      <c r="N11" s="401"/>
      <c r="O11" s="401"/>
      <c r="P11" s="401"/>
      <c r="Q11" s="401"/>
      <c r="R11" s="401"/>
      <c r="S11" s="401"/>
      <c r="T11" s="401"/>
      <c r="U11" s="401"/>
      <c r="V11" s="401"/>
      <c r="W11" s="401"/>
      <c r="X11" s="402"/>
      <c r="Y11" s="46"/>
      <c r="AE11" s="22" t="s">
        <v>106</v>
      </c>
      <c r="AF11" s="69">
        <v>145000</v>
      </c>
      <c r="AG11" s="70">
        <v>104000</v>
      </c>
      <c r="AH11" s="70">
        <v>88000</v>
      </c>
    </row>
    <row r="12" spans="2:236" ht="15" thickBot="1">
      <c r="B12" s="46"/>
      <c r="C12" s="284">
        <v>1</v>
      </c>
      <c r="D12" s="285"/>
      <c r="E12" s="285"/>
      <c r="F12" s="285"/>
      <c r="G12" s="285"/>
      <c r="H12" s="285"/>
      <c r="I12" s="285"/>
      <c r="J12" s="285"/>
      <c r="K12" s="285"/>
      <c r="L12" s="285"/>
      <c r="M12" s="286"/>
      <c r="N12" s="291">
        <v>2</v>
      </c>
      <c r="O12" s="291"/>
      <c r="P12" s="291">
        <v>3</v>
      </c>
      <c r="Q12" s="291"/>
      <c r="R12" s="291"/>
      <c r="S12" s="291"/>
      <c r="T12" s="291"/>
      <c r="U12" s="291"/>
      <c r="V12" s="291"/>
      <c r="W12" s="291">
        <v>4</v>
      </c>
      <c r="X12" s="404"/>
      <c r="Y12" s="46"/>
      <c r="Z12" s="71"/>
      <c r="AE12" s="23" t="s">
        <v>107</v>
      </c>
      <c r="AF12" s="72">
        <v>130000</v>
      </c>
      <c r="AG12" s="73">
        <v>91000</v>
      </c>
      <c r="AH12" s="73">
        <v>73000</v>
      </c>
    </row>
    <row r="13" spans="2:236" ht="17.100000000000001" customHeight="1" thickBot="1">
      <c r="B13" s="46"/>
      <c r="C13" s="397" t="s">
        <v>17</v>
      </c>
      <c r="D13" s="398"/>
      <c r="E13" s="398"/>
      <c r="F13" s="398"/>
      <c r="G13" s="398"/>
      <c r="H13" s="398"/>
      <c r="I13" s="398"/>
      <c r="J13" s="398"/>
      <c r="K13" s="398"/>
      <c r="L13" s="398"/>
      <c r="M13" s="399"/>
      <c r="N13" s="290" t="s">
        <v>281</v>
      </c>
      <c r="O13" s="290"/>
      <c r="P13" s="290" t="s">
        <v>18</v>
      </c>
      <c r="Q13" s="290"/>
      <c r="R13" s="290"/>
      <c r="S13" s="290"/>
      <c r="T13" s="290"/>
      <c r="U13" s="290"/>
      <c r="V13" s="290"/>
      <c r="W13" s="417" t="s">
        <v>19</v>
      </c>
      <c r="X13" s="418"/>
      <c r="Y13" s="46"/>
      <c r="AE13" s="22" t="s">
        <v>108</v>
      </c>
      <c r="AF13" s="72">
        <v>110000</v>
      </c>
      <c r="AG13" s="73">
        <v>76000</v>
      </c>
      <c r="AH13" s="73">
        <v>61000</v>
      </c>
    </row>
    <row r="14" spans="2:236" ht="27.75" customHeight="1">
      <c r="B14" s="46"/>
      <c r="C14" s="416"/>
      <c r="D14" s="395"/>
      <c r="E14" s="395"/>
      <c r="F14" s="395"/>
      <c r="G14" s="395"/>
      <c r="H14" s="395"/>
      <c r="I14" s="395"/>
      <c r="J14" s="395"/>
      <c r="K14" s="395"/>
      <c r="L14" s="395"/>
      <c r="M14" s="396"/>
      <c r="N14" s="416"/>
      <c r="O14" s="396"/>
      <c r="P14" s="433"/>
      <c r="Q14" s="434"/>
      <c r="R14" s="434"/>
      <c r="S14" s="434"/>
      <c r="T14" s="434"/>
      <c r="U14" s="434"/>
      <c r="V14" s="435"/>
      <c r="W14" s="419" t="str">
        <f>IF(P14=0," ",VLOOKUP(P14,DATA!E:F,2,0))</f>
        <v xml:space="preserve"> </v>
      </c>
      <c r="X14" s="420"/>
      <c r="Y14" s="189" t="str">
        <f>IF(O5="NACIONAL",IF(W14=" ","X",VLOOKUP(W14,DATA!F:G,2,0)),IF(W14=" ","X",VLOOKUP(W14,DATA!F:H,3,0)))</f>
        <v>X</v>
      </c>
    </row>
    <row r="15" spans="2:236" ht="15" customHeight="1">
      <c r="B15" s="46"/>
      <c r="C15" s="46"/>
      <c r="D15" s="74"/>
      <c r="E15" s="74"/>
      <c r="F15" s="74"/>
      <c r="G15" s="74"/>
      <c r="H15" s="74"/>
      <c r="I15" s="74"/>
      <c r="J15" s="74"/>
      <c r="K15" s="75"/>
      <c r="L15" s="75"/>
      <c r="M15" s="75"/>
      <c r="N15" s="75"/>
      <c r="O15" s="75"/>
      <c r="P15" s="75"/>
      <c r="Q15" s="75"/>
      <c r="R15" s="75"/>
      <c r="S15" s="75"/>
      <c r="T15" s="64"/>
      <c r="U15" s="64"/>
      <c r="V15" s="64"/>
      <c r="W15" s="64"/>
      <c r="X15" s="64"/>
      <c r="Y15" s="46"/>
    </row>
    <row r="16" spans="2:236" ht="15" customHeight="1">
      <c r="B16" s="46"/>
      <c r="C16" s="421" t="s">
        <v>101</v>
      </c>
      <c r="D16" s="422"/>
      <c r="E16" s="422"/>
      <c r="F16" s="422"/>
      <c r="G16" s="422"/>
      <c r="H16" s="422"/>
      <c r="I16" s="422"/>
      <c r="J16" s="422"/>
      <c r="K16" s="422"/>
      <c r="L16" s="422"/>
      <c r="M16" s="422"/>
      <c r="N16" s="422"/>
      <c r="O16" s="422"/>
      <c r="P16" s="422"/>
      <c r="Q16" s="422"/>
      <c r="R16" s="422"/>
      <c r="S16" s="422"/>
      <c r="T16" s="422"/>
      <c r="U16" s="422"/>
      <c r="V16" s="422"/>
      <c r="W16" s="422"/>
      <c r="X16" s="423"/>
      <c r="Y16" s="46"/>
    </row>
    <row r="17" spans="2:30">
      <c r="B17" s="46"/>
      <c r="C17" s="280">
        <v>5</v>
      </c>
      <c r="D17" s="281"/>
      <c r="E17" s="282"/>
      <c r="F17" s="283">
        <v>6</v>
      </c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2"/>
      <c r="T17" s="288">
        <v>7</v>
      </c>
      <c r="U17" s="285"/>
      <c r="V17" s="285"/>
      <c r="W17" s="285"/>
      <c r="X17" s="289"/>
      <c r="Y17" s="46"/>
    </row>
    <row r="18" spans="2:30" s="30" customFormat="1" ht="39" customHeight="1">
      <c r="B18" s="76"/>
      <c r="C18" s="412" t="s">
        <v>100</v>
      </c>
      <c r="D18" s="413"/>
      <c r="E18" s="413"/>
      <c r="F18" s="414" t="s">
        <v>98</v>
      </c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14"/>
      <c r="T18" s="504" t="s">
        <v>102</v>
      </c>
      <c r="U18" s="505"/>
      <c r="V18" s="505"/>
      <c r="W18" s="505"/>
      <c r="X18" s="506"/>
      <c r="Y18" s="76"/>
    </row>
    <row r="19" spans="2:30" ht="31.5" customHeight="1">
      <c r="B19" s="46"/>
      <c r="C19" s="394"/>
      <c r="D19" s="395"/>
      <c r="E19" s="396"/>
      <c r="F19" s="394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6"/>
      <c r="T19" s="507"/>
      <c r="U19" s="508"/>
      <c r="V19" s="508"/>
      <c r="W19" s="508"/>
      <c r="X19" s="509"/>
      <c r="Y19" s="46"/>
    </row>
    <row r="20" spans="2:30" ht="15.75" customHeight="1">
      <c r="B20" s="46"/>
      <c r="C20" s="46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46"/>
    </row>
    <row r="21" spans="2:30" s="26" customFormat="1" ht="15" customHeight="1">
      <c r="B21" s="54"/>
      <c r="C21" s="400" t="s">
        <v>22</v>
      </c>
      <c r="D21" s="401"/>
      <c r="E21" s="401"/>
      <c r="F21" s="401"/>
      <c r="G21" s="401"/>
      <c r="H21" s="401"/>
      <c r="I21" s="401"/>
      <c r="J21" s="401"/>
      <c r="K21" s="401"/>
      <c r="L21" s="401"/>
      <c r="M21" s="401"/>
      <c r="N21" s="401"/>
      <c r="O21" s="401"/>
      <c r="P21" s="401"/>
      <c r="Q21" s="401"/>
      <c r="R21" s="401"/>
      <c r="S21" s="401"/>
      <c r="T21" s="401"/>
      <c r="U21" s="401"/>
      <c r="V21" s="401"/>
      <c r="W21" s="401"/>
      <c r="X21" s="402"/>
      <c r="Y21" s="77"/>
      <c r="AD21" s="209"/>
    </row>
    <row r="22" spans="2:30" s="27" customFormat="1" ht="15" customHeight="1">
      <c r="B22" s="53"/>
      <c r="C22" s="444">
        <v>8</v>
      </c>
      <c r="D22" s="445"/>
      <c r="E22" s="445"/>
      <c r="F22" s="445"/>
      <c r="G22" s="445"/>
      <c r="H22" s="445"/>
      <c r="I22" s="445"/>
      <c r="J22" s="501">
        <v>9</v>
      </c>
      <c r="K22" s="445"/>
      <c r="L22" s="445"/>
      <c r="M22" s="164" t="s">
        <v>302</v>
      </c>
      <c r="N22" s="445" t="s">
        <v>771</v>
      </c>
      <c r="O22" s="445"/>
      <c r="P22" s="445" t="s">
        <v>772</v>
      </c>
      <c r="Q22" s="445"/>
      <c r="R22" s="445"/>
      <c r="S22" s="445">
        <v>10</v>
      </c>
      <c r="T22" s="445"/>
      <c r="U22" s="445"/>
      <c r="V22" s="445"/>
      <c r="W22" s="445"/>
      <c r="X22" s="446"/>
      <c r="Y22" s="78"/>
    </row>
    <row r="23" spans="2:30" s="26" customFormat="1" ht="24" customHeight="1">
      <c r="B23" s="54"/>
      <c r="C23" s="439" t="s">
        <v>11</v>
      </c>
      <c r="D23" s="440"/>
      <c r="E23" s="440"/>
      <c r="F23" s="440"/>
      <c r="G23" s="440"/>
      <c r="H23" s="440"/>
      <c r="I23" s="440"/>
      <c r="J23" s="502" t="s">
        <v>23</v>
      </c>
      <c r="K23" s="447"/>
      <c r="L23" s="447"/>
      <c r="M23" s="165" t="s">
        <v>289</v>
      </c>
      <c r="N23" s="447" t="s">
        <v>287</v>
      </c>
      <c r="O23" s="447"/>
      <c r="P23" s="447" t="s">
        <v>287</v>
      </c>
      <c r="Q23" s="447"/>
      <c r="R23" s="510"/>
      <c r="S23" s="442" t="s">
        <v>99</v>
      </c>
      <c r="T23" s="442"/>
      <c r="U23" s="442"/>
      <c r="V23" s="442"/>
      <c r="W23" s="442"/>
      <c r="X23" s="443"/>
      <c r="Y23" s="77"/>
    </row>
    <row r="24" spans="2:30" s="26" customFormat="1" ht="26.25" customHeight="1">
      <c r="B24" s="54"/>
      <c r="C24" s="441" t="s">
        <v>7</v>
      </c>
      <c r="D24" s="275"/>
      <c r="E24" s="275"/>
      <c r="F24" s="275" t="s">
        <v>8</v>
      </c>
      <c r="G24" s="275"/>
      <c r="H24" s="275" t="s">
        <v>9</v>
      </c>
      <c r="I24" s="438"/>
      <c r="J24" s="503"/>
      <c r="K24" s="448"/>
      <c r="L24" s="448"/>
      <c r="M24" s="165" t="s">
        <v>288</v>
      </c>
      <c r="N24" s="448" t="s">
        <v>288</v>
      </c>
      <c r="O24" s="448"/>
      <c r="P24" s="448" t="s">
        <v>303</v>
      </c>
      <c r="Q24" s="448"/>
      <c r="R24" s="511"/>
      <c r="S24" s="442"/>
      <c r="T24" s="442"/>
      <c r="U24" s="442"/>
      <c r="V24" s="442"/>
      <c r="W24" s="442"/>
      <c r="X24" s="443"/>
      <c r="Y24" s="77"/>
    </row>
    <row r="25" spans="2:30" s="26" customFormat="1" ht="12.75" customHeight="1">
      <c r="B25" s="54"/>
      <c r="C25" s="436"/>
      <c r="D25" s="436"/>
      <c r="E25" s="436"/>
      <c r="F25" s="436"/>
      <c r="G25" s="436"/>
      <c r="H25" s="437"/>
      <c r="I25" s="437"/>
      <c r="J25" s="342"/>
      <c r="K25" s="343"/>
      <c r="L25" s="344"/>
      <c r="M25" s="246"/>
      <c r="N25" s="295"/>
      <c r="O25" s="296"/>
      <c r="P25" s="297" t="str">
        <f>IF(N25=0," ",(N25*$M$25))</f>
        <v xml:space="preserve"> </v>
      </c>
      <c r="Q25" s="298"/>
      <c r="R25" s="299"/>
      <c r="S25" s="319"/>
      <c r="T25" s="319"/>
      <c r="U25" s="319"/>
      <c r="V25" s="319"/>
      <c r="W25" s="319"/>
      <c r="X25" s="319"/>
      <c r="Y25" s="77"/>
    </row>
    <row r="26" spans="2:30" s="26" customFormat="1" ht="12.75" customHeight="1">
      <c r="B26" s="54"/>
      <c r="C26" s="436"/>
      <c r="D26" s="436"/>
      <c r="E26" s="436"/>
      <c r="F26" s="436"/>
      <c r="G26" s="436"/>
      <c r="H26" s="437"/>
      <c r="I26" s="437"/>
      <c r="J26" s="342"/>
      <c r="K26" s="343"/>
      <c r="L26" s="344"/>
      <c r="M26" s="246"/>
      <c r="N26" s="295"/>
      <c r="O26" s="296"/>
      <c r="P26" s="292"/>
      <c r="Q26" s="293"/>
      <c r="R26" s="294"/>
      <c r="S26" s="319"/>
      <c r="T26" s="319"/>
      <c r="U26" s="319"/>
      <c r="V26" s="319"/>
      <c r="W26" s="319"/>
      <c r="X26" s="319"/>
      <c r="Y26" s="77"/>
    </row>
    <row r="27" spans="2:30" s="26" customFormat="1" ht="12.75" customHeight="1">
      <c r="B27" s="54"/>
      <c r="C27" s="436"/>
      <c r="D27" s="436"/>
      <c r="E27" s="436"/>
      <c r="F27" s="436"/>
      <c r="G27" s="436"/>
      <c r="H27" s="437"/>
      <c r="I27" s="437"/>
      <c r="J27" s="342"/>
      <c r="K27" s="343"/>
      <c r="L27" s="344"/>
      <c r="M27" s="246"/>
      <c r="N27" s="295"/>
      <c r="O27" s="296"/>
      <c r="P27" s="292"/>
      <c r="Q27" s="293"/>
      <c r="R27" s="294"/>
      <c r="S27" s="319"/>
      <c r="T27" s="319"/>
      <c r="U27" s="319"/>
      <c r="V27" s="319"/>
      <c r="W27" s="319"/>
      <c r="X27" s="319"/>
      <c r="Y27" s="77"/>
    </row>
    <row r="28" spans="2:30" s="26" customFormat="1" ht="12.75" customHeight="1">
      <c r="B28" s="54"/>
      <c r="C28" s="436"/>
      <c r="D28" s="436"/>
      <c r="E28" s="436"/>
      <c r="F28" s="436"/>
      <c r="G28" s="436"/>
      <c r="H28" s="437"/>
      <c r="I28" s="437"/>
      <c r="J28" s="342"/>
      <c r="K28" s="343"/>
      <c r="L28" s="344"/>
      <c r="M28" s="246"/>
      <c r="N28" s="295"/>
      <c r="O28" s="296"/>
      <c r="P28" s="292"/>
      <c r="Q28" s="293"/>
      <c r="R28" s="294"/>
      <c r="S28" s="319"/>
      <c r="T28" s="319"/>
      <c r="U28" s="319"/>
      <c r="V28" s="319"/>
      <c r="W28" s="319"/>
      <c r="X28" s="319"/>
      <c r="Y28" s="77"/>
    </row>
    <row r="29" spans="2:30" s="26" customFormat="1" ht="12.75" customHeight="1">
      <c r="B29" s="54"/>
      <c r="C29" s="436"/>
      <c r="D29" s="436"/>
      <c r="E29" s="436"/>
      <c r="F29" s="436"/>
      <c r="G29" s="436"/>
      <c r="H29" s="437"/>
      <c r="I29" s="437"/>
      <c r="J29" s="342"/>
      <c r="K29" s="343"/>
      <c r="L29" s="344"/>
      <c r="M29" s="246"/>
      <c r="N29" s="295"/>
      <c r="O29" s="296"/>
      <c r="P29" s="292"/>
      <c r="Q29" s="293"/>
      <c r="R29" s="294"/>
      <c r="S29" s="319"/>
      <c r="T29" s="319"/>
      <c r="U29" s="319"/>
      <c r="V29" s="319"/>
      <c r="W29" s="319"/>
      <c r="X29" s="319"/>
      <c r="Y29" s="77"/>
    </row>
    <row r="30" spans="2:30" s="26" customFormat="1" ht="18.75" customHeight="1" thickBot="1">
      <c r="B30" s="54"/>
      <c r="C30" s="169" t="s">
        <v>296</v>
      </c>
      <c r="D30" s="170"/>
      <c r="E30" s="170"/>
      <c r="F30" s="170"/>
      <c r="G30" s="170"/>
      <c r="H30" s="170"/>
      <c r="I30" s="170"/>
      <c r="J30" s="170"/>
      <c r="K30" s="170"/>
      <c r="L30" s="170"/>
      <c r="M30" s="247"/>
      <c r="N30" s="295"/>
      <c r="O30" s="296"/>
      <c r="P30" s="297">
        <f>IF(N30=0,0,(N30*$M$30))</f>
        <v>0</v>
      </c>
      <c r="Q30" s="298"/>
      <c r="R30" s="299"/>
      <c r="S30" s="458">
        <f>+P30</f>
        <v>0</v>
      </c>
      <c r="T30" s="458"/>
      <c r="U30" s="458"/>
      <c r="V30" s="458"/>
      <c r="W30" s="458"/>
      <c r="X30" s="458"/>
      <c r="Y30" s="77"/>
    </row>
    <row r="31" spans="2:30" s="26" customFormat="1" ht="17.100000000000001" customHeight="1" thickBot="1">
      <c r="B31" s="54"/>
      <c r="C31" s="339" t="s">
        <v>3</v>
      </c>
      <c r="D31" s="340"/>
      <c r="E31" s="340"/>
      <c r="F31" s="340"/>
      <c r="G31" s="340"/>
      <c r="H31" s="340"/>
      <c r="I31" s="340"/>
      <c r="J31" s="340"/>
      <c r="K31" s="340"/>
      <c r="L31" s="340"/>
      <c r="M31" s="341"/>
      <c r="N31" s="485">
        <f>SUM(N25:O29)-N30</f>
        <v>0</v>
      </c>
      <c r="O31" s="486"/>
      <c r="P31" s="487">
        <f>SUM(P25:R29)-P30</f>
        <v>0</v>
      </c>
      <c r="Q31" s="488"/>
      <c r="R31" s="489"/>
      <c r="S31" s="306" t="str">
        <f>IF(O5="NACIONAL",IF(SUM(S25:X29)=0," ",(SUM(S25:X29)-S30)),IF(SUM(P25:R29)=0," ",(SUM(P25:R29)-P30)))</f>
        <v xml:space="preserve"> </v>
      </c>
      <c r="T31" s="306"/>
      <c r="U31" s="306"/>
      <c r="V31" s="306"/>
      <c r="W31" s="306"/>
      <c r="X31" s="307"/>
      <c r="Y31" s="77"/>
    </row>
    <row r="32" spans="2:30" s="26" customFormat="1" ht="17.100000000000001" customHeight="1">
      <c r="B32" s="54"/>
      <c r="C32" s="77"/>
      <c r="D32" s="54"/>
      <c r="E32" s="79"/>
      <c r="F32" s="79"/>
      <c r="G32" s="79"/>
      <c r="H32" s="79"/>
      <c r="I32" s="79"/>
      <c r="J32" s="79"/>
      <c r="K32" s="79"/>
      <c r="L32" s="79"/>
      <c r="M32" s="80"/>
      <c r="N32" s="62"/>
      <c r="O32" s="62"/>
      <c r="P32" s="62"/>
      <c r="Q32" s="62"/>
      <c r="R32" s="62"/>
      <c r="S32" s="44"/>
      <c r="T32" s="44"/>
      <c r="U32" s="44"/>
      <c r="V32" s="44"/>
      <c r="W32" s="44"/>
      <c r="X32" s="44"/>
      <c r="Y32" s="77"/>
    </row>
    <row r="33" spans="2:25" s="26" customFormat="1" ht="17.100000000000001" customHeight="1" thickBot="1">
      <c r="B33" s="54"/>
      <c r="C33" s="320" t="s">
        <v>120</v>
      </c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2"/>
      <c r="Y33" s="77"/>
    </row>
    <row r="34" spans="2:25" s="24" customFormat="1" ht="15.75" customHeight="1">
      <c r="B34" s="47"/>
      <c r="C34" s="239">
        <v>11</v>
      </c>
      <c r="D34" s="300">
        <v>12</v>
      </c>
      <c r="E34" s="301"/>
      <c r="F34" s="301"/>
      <c r="G34" s="301"/>
      <c r="H34" s="301">
        <v>13</v>
      </c>
      <c r="I34" s="301"/>
      <c r="J34" s="301"/>
      <c r="K34" s="492" t="s">
        <v>182</v>
      </c>
      <c r="L34" s="240"/>
      <c r="M34" s="241" t="s">
        <v>773</v>
      </c>
      <c r="N34" s="242" t="s">
        <v>774</v>
      </c>
      <c r="O34" s="449">
        <v>15</v>
      </c>
      <c r="P34" s="498"/>
      <c r="Q34" s="498"/>
      <c r="R34" s="498"/>
      <c r="S34" s="498"/>
      <c r="T34" s="498"/>
      <c r="U34" s="498"/>
      <c r="V34" s="499"/>
      <c r="W34" s="449">
        <v>16</v>
      </c>
      <c r="X34" s="450"/>
      <c r="Y34" s="47"/>
    </row>
    <row r="35" spans="2:25" s="24" customFormat="1" ht="16.5" customHeight="1">
      <c r="B35" s="47"/>
      <c r="C35" s="361" t="str">
        <f>IF(O5="NACIONAL","TARIFA DIARIA","TARIFA DIARIA USD")</f>
        <v>TARIFA DIARIA</v>
      </c>
      <c r="D35" s="454" t="s">
        <v>84</v>
      </c>
      <c r="E35" s="455"/>
      <c r="F35" s="455"/>
      <c r="G35" s="455"/>
      <c r="H35" s="291" t="s">
        <v>20</v>
      </c>
      <c r="I35" s="291"/>
      <c r="J35" s="291"/>
      <c r="K35" s="493"/>
      <c r="L35" s="354" t="s">
        <v>698</v>
      </c>
      <c r="M35" s="495" t="s">
        <v>699</v>
      </c>
      <c r="N35" s="351" t="s">
        <v>700</v>
      </c>
      <c r="O35" s="288" t="s">
        <v>32</v>
      </c>
      <c r="P35" s="285"/>
      <c r="Q35" s="285"/>
      <c r="R35" s="285"/>
      <c r="S35" s="285"/>
      <c r="T35" s="285"/>
      <c r="U35" s="285"/>
      <c r="V35" s="286"/>
      <c r="W35" s="285" t="s">
        <v>21</v>
      </c>
      <c r="X35" s="451"/>
      <c r="Y35" s="47"/>
    </row>
    <row r="36" spans="2:25" s="24" customFormat="1" ht="18" customHeight="1">
      <c r="B36" s="47"/>
      <c r="C36" s="361"/>
      <c r="D36" s="454"/>
      <c r="E36" s="455"/>
      <c r="F36" s="455"/>
      <c r="G36" s="455"/>
      <c r="H36" s="349" t="s">
        <v>0</v>
      </c>
      <c r="I36" s="349" t="s">
        <v>6</v>
      </c>
      <c r="J36" s="349" t="s">
        <v>121</v>
      </c>
      <c r="K36" s="493"/>
      <c r="L36" s="355"/>
      <c r="M36" s="496"/>
      <c r="N36" s="352"/>
      <c r="O36" s="482" t="s">
        <v>26</v>
      </c>
      <c r="P36" s="484"/>
      <c r="Q36" s="482" t="s">
        <v>1</v>
      </c>
      <c r="R36" s="483"/>
      <c r="S36" s="483"/>
      <c r="T36" s="484"/>
      <c r="U36" s="482" t="s">
        <v>2</v>
      </c>
      <c r="V36" s="484"/>
      <c r="W36" s="285"/>
      <c r="X36" s="451"/>
      <c r="Y36" s="81"/>
    </row>
    <row r="37" spans="2:25" s="24" customFormat="1" ht="24.75" customHeight="1">
      <c r="B37" s="47"/>
      <c r="C37" s="362"/>
      <c r="D37" s="456"/>
      <c r="E37" s="457"/>
      <c r="F37" s="457"/>
      <c r="G37" s="457"/>
      <c r="H37" s="350"/>
      <c r="I37" s="350"/>
      <c r="J37" s="350"/>
      <c r="K37" s="494"/>
      <c r="L37" s="356"/>
      <c r="M37" s="497"/>
      <c r="N37" s="353"/>
      <c r="O37" s="490"/>
      <c r="P37" s="491"/>
      <c r="Q37" s="208" t="s">
        <v>789</v>
      </c>
      <c r="R37" s="187" t="s">
        <v>118</v>
      </c>
      <c r="S37" s="187" t="s">
        <v>790</v>
      </c>
      <c r="T37" s="186" t="s">
        <v>117</v>
      </c>
      <c r="U37" s="490"/>
      <c r="V37" s="491"/>
      <c r="W37" s="452"/>
      <c r="X37" s="453"/>
      <c r="Y37" s="81"/>
    </row>
    <row r="38" spans="2:25" ht="17.100000000000001" customHeight="1">
      <c r="B38" s="46"/>
      <c r="C38" s="243"/>
      <c r="D38" s="338"/>
      <c r="E38" s="338"/>
      <c r="F38" s="338"/>
      <c r="G38" s="338"/>
      <c r="H38" s="6"/>
      <c r="I38" s="6"/>
      <c r="J38" s="33" t="str">
        <f>IF(H38=0," ",IF((I38-H38)&gt;=0,(I38-H38+1),(I38-H38+(VLOOKUP($C$19,DATA!J$2:K$13,2,0)+1))))</f>
        <v xml:space="preserve"> </v>
      </c>
      <c r="K38" s="6"/>
      <c r="L38" s="178" t="str">
        <f>IF(J38=" "," ",(IF(K38="no","50%","100"%)))</f>
        <v xml:space="preserve"> </v>
      </c>
      <c r="M38" s="179">
        <f t="shared" ref="M38" si="0">IF(OR(K38="NO",K38=0),0,+(IF(J38=1,0,IF(H38=0," ",IF(J38=1,(C38/2),IF($K38="si",((C38*(J38-1))/2),C38*$J38/2))))))</f>
        <v>0</v>
      </c>
      <c r="N38" s="180" t="str">
        <f t="shared" ref="N38" si="1">IF(H38=0," ",IF(J38=1,(C38/2),IF($K38="si",((C38*J38)/2),C38*$J38/2)))</f>
        <v xml:space="preserve"> </v>
      </c>
      <c r="O38" s="359"/>
      <c r="P38" s="360"/>
      <c r="Q38" s="6"/>
      <c r="R38" s="248"/>
      <c r="S38" s="34"/>
      <c r="T38" s="39">
        <f t="shared" ref="T38:T46" si="2">R38*S38</f>
        <v>0</v>
      </c>
      <c r="U38" s="359"/>
      <c r="V38" s="360"/>
      <c r="W38" s="382">
        <f t="shared" ref="W38" si="3">+IFERROR(IF(C38=" "," ",(IF($O$5="NACIONAL",IF(AND(H38=0,O38=0,T38=0,U38=0,N38=0)," ",IF(H38=0,(N38+O38+T38+U38),(M38+N38+O38+T38+U38))),IF(AND(H38=0,O38=0,T38=0,U38=0,N38=0)," ",IF(H38=0,(N38+O38+T38+U38),(((M38)*$M$25)+(N38)*$M$25)+O38+T38+U38))))),0)</f>
        <v>0</v>
      </c>
      <c r="X38" s="383"/>
      <c r="Y38" s="207"/>
    </row>
    <row r="39" spans="2:25" ht="17.100000000000001" customHeight="1">
      <c r="B39" s="46"/>
      <c r="C39" s="243"/>
      <c r="D39" s="338"/>
      <c r="E39" s="338"/>
      <c r="F39" s="338"/>
      <c r="G39" s="338"/>
      <c r="H39" s="6"/>
      <c r="I39" s="6"/>
      <c r="J39" s="33" t="str">
        <f>IF(H39=0," ",IF((I39-H39)&gt;=0,(I39-H39+1),(I39-H39+(VLOOKUP($C$19,DATA!J$2:K$13,2,0)+1))))</f>
        <v xml:space="preserve"> </v>
      </c>
      <c r="K39" s="6"/>
      <c r="L39" s="178" t="str">
        <f t="shared" ref="L39:L45" si="4">IF(J39=" "," ",(IF(K39="no","50%","100"%)))</f>
        <v xml:space="preserve"> </v>
      </c>
      <c r="M39" s="179">
        <f t="shared" ref="M39:M45" si="5">IF(OR(K39="NO",K39=0),0,+(IF(J39=1,0,IF(H39=0," ",IF(J39=1,(C39/2),IF($K39="si",((C39*(J39-1))/2),C39*$J39/2))))))</f>
        <v>0</v>
      </c>
      <c r="N39" s="180" t="str">
        <f t="shared" ref="N39:N45" si="6">IF(H39=0," ",IF(J39=1,(C39/2),IF($K39="si",((C39*J39)/2),C39*$J39/2)))</f>
        <v xml:space="preserve"> </v>
      </c>
      <c r="O39" s="359"/>
      <c r="P39" s="360"/>
      <c r="Q39" s="6"/>
      <c r="R39" s="248"/>
      <c r="S39" s="34"/>
      <c r="T39" s="39">
        <f t="shared" si="2"/>
        <v>0</v>
      </c>
      <c r="U39" s="359"/>
      <c r="V39" s="360"/>
      <c r="W39" s="382">
        <f t="shared" ref="W39:W45" si="7">+IFERROR(IF(C39=" "," ",(IF($O$5="NACIONAL",IF(AND(H39=0,O39=0,T39=0,U39=0,N39=0)," ",IF(H39=0,(N39+O39+T39+U39),(M39+N39+O39+T39+U39))),IF(AND(H39=0,O39=0,T39=0,U39=0,N39=0)," ",IF(H39=0,(N39+O39+T39+U39),(((M39)*$M$25)+(N39)*$M$25)+O39+T39+U39))))),0)</f>
        <v>0</v>
      </c>
      <c r="X39" s="383"/>
      <c r="Y39" s="207"/>
    </row>
    <row r="40" spans="2:25" ht="17.100000000000001" customHeight="1">
      <c r="B40" s="46"/>
      <c r="C40" s="243"/>
      <c r="D40" s="338"/>
      <c r="E40" s="338"/>
      <c r="F40" s="338"/>
      <c r="G40" s="338"/>
      <c r="H40" s="6"/>
      <c r="I40" s="6"/>
      <c r="J40" s="33" t="str">
        <f>IF(H40=0," ",IF((I40-H40)&gt;=0,(I40-H40+1),(I40-H40+(VLOOKUP($C$19,DATA!J$2:K$13,2,0)+1))))</f>
        <v xml:space="preserve"> </v>
      </c>
      <c r="K40" s="6"/>
      <c r="L40" s="178" t="str">
        <f t="shared" si="4"/>
        <v xml:space="preserve"> </v>
      </c>
      <c r="M40" s="179">
        <f t="shared" si="5"/>
        <v>0</v>
      </c>
      <c r="N40" s="180" t="str">
        <f t="shared" si="6"/>
        <v xml:space="preserve"> </v>
      </c>
      <c r="O40" s="359"/>
      <c r="P40" s="360"/>
      <c r="Q40" s="6"/>
      <c r="R40" s="248"/>
      <c r="S40" s="34"/>
      <c r="T40" s="39">
        <f t="shared" si="2"/>
        <v>0</v>
      </c>
      <c r="U40" s="359"/>
      <c r="V40" s="360"/>
      <c r="W40" s="382">
        <f t="shared" si="7"/>
        <v>0</v>
      </c>
      <c r="X40" s="383"/>
      <c r="Y40" s="207"/>
    </row>
    <row r="41" spans="2:25" ht="17.100000000000001" customHeight="1">
      <c r="B41" s="46"/>
      <c r="C41" s="243"/>
      <c r="D41" s="338"/>
      <c r="E41" s="338"/>
      <c r="F41" s="338"/>
      <c r="G41" s="338"/>
      <c r="H41" s="6"/>
      <c r="I41" s="6"/>
      <c r="J41" s="33" t="str">
        <f>IF(H41=0," ",IF((I41-H41)&gt;=0,(I41-H41+1),(I41-H41+(VLOOKUP($C$19,DATA!J$2:K$13,2,0)+1))))</f>
        <v xml:space="preserve"> </v>
      </c>
      <c r="K41" s="6"/>
      <c r="L41" s="178" t="str">
        <f t="shared" si="4"/>
        <v xml:space="preserve"> </v>
      </c>
      <c r="M41" s="179">
        <f t="shared" si="5"/>
        <v>0</v>
      </c>
      <c r="N41" s="180" t="str">
        <f t="shared" si="6"/>
        <v xml:space="preserve"> </v>
      </c>
      <c r="O41" s="359"/>
      <c r="P41" s="360"/>
      <c r="Q41" s="6"/>
      <c r="R41" s="248"/>
      <c r="S41" s="34"/>
      <c r="T41" s="39">
        <f t="shared" si="2"/>
        <v>0</v>
      </c>
      <c r="U41" s="359"/>
      <c r="V41" s="360"/>
      <c r="W41" s="382">
        <f t="shared" si="7"/>
        <v>0</v>
      </c>
      <c r="X41" s="383"/>
      <c r="Y41" s="207"/>
    </row>
    <row r="42" spans="2:25" ht="17.100000000000001" customHeight="1">
      <c r="B42" s="46"/>
      <c r="C42" s="243"/>
      <c r="D42" s="338"/>
      <c r="E42" s="338"/>
      <c r="F42" s="338"/>
      <c r="G42" s="338"/>
      <c r="H42" s="6"/>
      <c r="I42" s="6"/>
      <c r="J42" s="33" t="str">
        <f>IF(H42=0," ",IF((I42-H42)&gt;=0,(I42-H42+1),(I42-H42+(VLOOKUP($C$19,DATA!J$2:K$13,2,0)+1))))</f>
        <v xml:space="preserve"> </v>
      </c>
      <c r="K42" s="6"/>
      <c r="L42" s="178" t="str">
        <f t="shared" si="4"/>
        <v xml:space="preserve"> </v>
      </c>
      <c r="M42" s="179">
        <f t="shared" si="5"/>
        <v>0</v>
      </c>
      <c r="N42" s="180" t="str">
        <f t="shared" si="6"/>
        <v xml:space="preserve"> </v>
      </c>
      <c r="O42" s="359"/>
      <c r="P42" s="360"/>
      <c r="Q42" s="6"/>
      <c r="R42" s="248"/>
      <c r="S42" s="34"/>
      <c r="T42" s="39">
        <f t="shared" si="2"/>
        <v>0</v>
      </c>
      <c r="U42" s="359"/>
      <c r="V42" s="360"/>
      <c r="W42" s="382">
        <f t="shared" si="7"/>
        <v>0</v>
      </c>
      <c r="X42" s="383"/>
      <c r="Y42" s="207"/>
    </row>
    <row r="43" spans="2:25" ht="17.100000000000001" customHeight="1">
      <c r="B43" s="46"/>
      <c r="C43" s="243"/>
      <c r="D43" s="338"/>
      <c r="E43" s="338"/>
      <c r="F43" s="338"/>
      <c r="G43" s="338"/>
      <c r="H43" s="6"/>
      <c r="I43" s="6"/>
      <c r="J43" s="33" t="str">
        <f>IF(H43=0," ",IF((I43-H43)&gt;=0,(I43-H43+1),(I43-H43+(VLOOKUP($C$19,DATA!J$2:K$13,2,0)+1))))</f>
        <v xml:space="preserve"> </v>
      </c>
      <c r="K43" s="6"/>
      <c r="L43" s="178" t="str">
        <f t="shared" si="4"/>
        <v xml:space="preserve"> </v>
      </c>
      <c r="M43" s="179">
        <f t="shared" si="5"/>
        <v>0</v>
      </c>
      <c r="N43" s="180" t="str">
        <f t="shared" si="6"/>
        <v xml:space="preserve"> </v>
      </c>
      <c r="O43" s="359"/>
      <c r="P43" s="360"/>
      <c r="Q43" s="6"/>
      <c r="R43" s="248"/>
      <c r="S43" s="34"/>
      <c r="T43" s="39">
        <f t="shared" si="2"/>
        <v>0</v>
      </c>
      <c r="U43" s="359"/>
      <c r="V43" s="360"/>
      <c r="W43" s="382">
        <f t="shared" si="7"/>
        <v>0</v>
      </c>
      <c r="X43" s="383"/>
      <c r="Y43" s="207"/>
    </row>
    <row r="44" spans="2:25" ht="17.100000000000001" customHeight="1">
      <c r="B44" s="46"/>
      <c r="C44" s="243"/>
      <c r="D44" s="338"/>
      <c r="E44" s="338"/>
      <c r="F44" s="338"/>
      <c r="G44" s="338"/>
      <c r="H44" s="6"/>
      <c r="I44" s="6"/>
      <c r="J44" s="33" t="str">
        <f>IF(H44=0," ",IF((I44-H44)&gt;=0,(I44-H44+1),(I44-H44+(VLOOKUP($C$19,DATA!J$2:K$13,2,0)+1))))</f>
        <v xml:space="preserve"> </v>
      </c>
      <c r="K44" s="6"/>
      <c r="L44" s="178" t="str">
        <f t="shared" si="4"/>
        <v xml:space="preserve"> </v>
      </c>
      <c r="M44" s="179">
        <f t="shared" si="5"/>
        <v>0</v>
      </c>
      <c r="N44" s="180" t="str">
        <f t="shared" si="6"/>
        <v xml:space="preserve"> </v>
      </c>
      <c r="O44" s="359"/>
      <c r="P44" s="360"/>
      <c r="Q44" s="6"/>
      <c r="R44" s="248"/>
      <c r="S44" s="34"/>
      <c r="T44" s="39">
        <f t="shared" si="2"/>
        <v>0</v>
      </c>
      <c r="U44" s="359"/>
      <c r="V44" s="360"/>
      <c r="W44" s="382">
        <f t="shared" si="7"/>
        <v>0</v>
      </c>
      <c r="X44" s="383"/>
      <c r="Y44" s="207"/>
    </row>
    <row r="45" spans="2:25" ht="17.100000000000001" customHeight="1" thickBot="1">
      <c r="B45" s="46"/>
      <c r="C45" s="244"/>
      <c r="D45" s="479"/>
      <c r="E45" s="479"/>
      <c r="F45" s="479"/>
      <c r="G45" s="479"/>
      <c r="H45" s="213"/>
      <c r="I45" s="213"/>
      <c r="J45" s="214" t="str">
        <f>IF(H45=0," ",IF((I45-H45)&gt;=0,(I45-H45+1),(I45-H45+(VLOOKUP($C$19,DATA!J$2:K$13,2,0)+1))))</f>
        <v xml:space="preserve"> </v>
      </c>
      <c r="K45" s="213"/>
      <c r="L45" s="215" t="str">
        <f t="shared" si="4"/>
        <v xml:space="preserve"> </v>
      </c>
      <c r="M45" s="216">
        <f t="shared" si="5"/>
        <v>0</v>
      </c>
      <c r="N45" s="217" t="str">
        <f t="shared" si="6"/>
        <v xml:space="preserve"> </v>
      </c>
      <c r="O45" s="380"/>
      <c r="P45" s="381"/>
      <c r="Q45" s="6"/>
      <c r="R45" s="248"/>
      <c r="S45" s="34"/>
      <c r="T45" s="218">
        <f t="shared" si="2"/>
        <v>0</v>
      </c>
      <c r="U45" s="380"/>
      <c r="V45" s="381"/>
      <c r="W45" s="480">
        <f t="shared" si="7"/>
        <v>0</v>
      </c>
      <c r="X45" s="481"/>
      <c r="Y45" s="207"/>
    </row>
    <row r="46" spans="2:25" ht="17.25" customHeight="1">
      <c r="B46" s="46"/>
      <c r="C46" s="329" t="s">
        <v>85</v>
      </c>
      <c r="D46" s="426"/>
      <c r="E46" s="427"/>
      <c r="F46" s="427"/>
      <c r="G46" s="428"/>
      <c r="H46" s="222"/>
      <c r="I46" s="222"/>
      <c r="J46" s="229" t="str">
        <f>IF(H46=0," ",IF((I46-H46)&gt;=0,(I46-H46+1),(I46-H46+(VLOOKUP($C$19,DATA!J$2:K$13,2,0)+1))))</f>
        <v xml:space="preserve"> </v>
      </c>
      <c r="K46" s="223"/>
      <c r="L46" s="224" t="str">
        <f>IF(J46=" "," ",(IF(K46="no","50%","100"%)))</f>
        <v xml:space="preserve"> </v>
      </c>
      <c r="M46" s="225"/>
      <c r="N46" s="226"/>
      <c r="O46" s="363"/>
      <c r="P46" s="364"/>
      <c r="Q46" s="193"/>
      <c r="R46" s="227"/>
      <c r="S46" s="228"/>
      <c r="T46" s="229">
        <f t="shared" si="2"/>
        <v>0</v>
      </c>
      <c r="U46" s="473"/>
      <c r="V46" s="474"/>
      <c r="W46" s="374" t="str">
        <f>+IFERROR(IF(C46=" "," ",(IF($O$5="NACIONAL",IF(AND(H46=0,M46=0,O46=0,T46=0,U46=0,N46=0)," ",IF(H46=0,(M46+N46+O46+T46+U46),(M46+N46+O46+T46+U46))),IF(AND(H46=0,M46=0,O46=0,T46=0,U46=0,N46=0)," ",IF(H46=0,((M46)*$M$25+N46+O46+T46+U46),(((M46)*$M$25)+(N46)*$M$25)+O46+T46+U46))))),0)</f>
        <v xml:space="preserve"> </v>
      </c>
      <c r="X46" s="375"/>
      <c r="Y46" s="46"/>
    </row>
    <row r="47" spans="2:25" ht="17.25" customHeight="1">
      <c r="B47" s="46"/>
      <c r="C47" s="330"/>
      <c r="D47" s="332"/>
      <c r="E47" s="333"/>
      <c r="F47" s="333"/>
      <c r="G47" s="334"/>
      <c r="H47" s="175"/>
      <c r="I47" s="175"/>
      <c r="J47" s="33" t="str">
        <f>IF(H47=0," ",IF((I47-H47)&gt;=0,(I47-H47+1),(I47-H47+(VLOOKUP($C$19,DATA!J$2:K$13,2,0)+1))))</f>
        <v xml:space="preserve"> </v>
      </c>
      <c r="K47" s="176"/>
      <c r="L47" s="167" t="str">
        <f>IF(J47=" "," ",(IF(K47="no","50%","100"%)))</f>
        <v xml:space="preserve"> </v>
      </c>
      <c r="M47" s="177"/>
      <c r="N47" s="168"/>
      <c r="O47" s="345"/>
      <c r="P47" s="346"/>
      <c r="Q47" s="194"/>
      <c r="R47" s="173"/>
      <c r="S47" s="174"/>
      <c r="T47" s="33">
        <f t="shared" ref="T47:T49" si="8">R47*S47</f>
        <v>0</v>
      </c>
      <c r="U47" s="475"/>
      <c r="V47" s="476"/>
      <c r="W47" s="376" t="str">
        <f>+IFERROR(IF(C47=" "," ",(IF($O$5="NACIONAL",IF(AND(H47=0,M47=0,O47=0,T47=0,U47=0,N47=0)," ",IF(H47=0,(M47+N47+O47+T47+U47),(M47+N47+O47+T47+U47))),IF(AND(H47=0,M47=0,O47=0,T47=0,U47=0,N47=0)," ",IF(H47=0,((M47)*$M$25+N47+O47+T47+U47),(((M47)*$M$25)+(N47)*$M$25)+O47+T47+U47))))),0)</f>
        <v xml:space="preserve"> </v>
      </c>
      <c r="X47" s="377"/>
      <c r="Y47" s="46"/>
    </row>
    <row r="48" spans="2:25" ht="17.25" customHeight="1">
      <c r="B48" s="46"/>
      <c r="C48" s="330"/>
      <c r="D48" s="332"/>
      <c r="E48" s="333"/>
      <c r="F48" s="333"/>
      <c r="G48" s="334"/>
      <c r="H48" s="175"/>
      <c r="I48" s="175"/>
      <c r="J48" s="33" t="str">
        <f>IF(H48=0," ",IF((I48-H48)&gt;=0,(I48-H48+1),(I48-H48+(VLOOKUP($C$19,DATA!J$2:K$13,2,0)+1))))</f>
        <v xml:space="preserve"> </v>
      </c>
      <c r="K48" s="176"/>
      <c r="L48" s="167" t="str">
        <f>IF(J48=" "," ",(IF(K48="no","50%","100"%)))</f>
        <v xml:space="preserve"> </v>
      </c>
      <c r="M48" s="177"/>
      <c r="N48" s="168"/>
      <c r="O48" s="345"/>
      <c r="P48" s="346"/>
      <c r="Q48" s="194"/>
      <c r="R48" s="173"/>
      <c r="S48" s="174"/>
      <c r="T48" s="33">
        <f t="shared" si="8"/>
        <v>0</v>
      </c>
      <c r="U48" s="475"/>
      <c r="V48" s="476"/>
      <c r="W48" s="376" t="str">
        <f>+IFERROR(IF(C48=" "," ",(IF($O$5="NACIONAL",IF(AND(H48=0,M48=0,O48=0,T48=0,U48=0,N48=0)," ",IF(H48=0,(M48+N48+O48+T48+U48),(M48+N48+O48+T48+U48))),IF(AND(H48=0,M48=0,O48=0,T48=0,U48=0,N48=0)," ",IF(H48=0,((M48)*$M$25+N48+O48+T48+U48),(((M48)*$M$25)+(N48)*$M$25)+O48+T48+U48))))),0)</f>
        <v xml:space="preserve"> </v>
      </c>
      <c r="X48" s="377"/>
      <c r="Y48" s="46"/>
    </row>
    <row r="49" spans="2:237" ht="17.25" customHeight="1" thickBot="1">
      <c r="B49" s="46"/>
      <c r="C49" s="331"/>
      <c r="D49" s="335"/>
      <c r="E49" s="336"/>
      <c r="F49" s="336"/>
      <c r="G49" s="337"/>
      <c r="H49" s="230"/>
      <c r="I49" s="230"/>
      <c r="J49" s="231" t="str">
        <f>IF(H49=0," ",IF((I49-H49)&gt;=0,(I49-H49+1),(I49-H49+(VLOOKUP($C$19,DATA!J$2:K$13,2,0)+1))))</f>
        <v xml:space="preserve"> </v>
      </c>
      <c r="K49" s="232"/>
      <c r="L49" s="233" t="str">
        <f>IF(J49=" "," ",(IF(K49="no","50%","100"%)))</f>
        <v xml:space="preserve"> </v>
      </c>
      <c r="M49" s="234"/>
      <c r="N49" s="235"/>
      <c r="O49" s="347"/>
      <c r="P49" s="348"/>
      <c r="Q49" s="236"/>
      <c r="R49" s="237"/>
      <c r="S49" s="238"/>
      <c r="T49" s="231">
        <f t="shared" si="8"/>
        <v>0</v>
      </c>
      <c r="U49" s="477"/>
      <c r="V49" s="478"/>
      <c r="W49" s="431" t="str">
        <f>+IFERROR(IF(C49=" "," ",(IF($O$5="NACIONAL",IF(AND(H49=0,M49=0,O49=0,T49=0,U49=0,N49=0)," ",IF(H49=0,(M49+N49+O49+T49+U49),(M49+N49+O49+T49+U49))),IF(AND(H49=0,M49=0,O49=0,T49=0,U49=0,N49=0)," ",IF(H49=0,((M49)*$M$25+N49+O49+T49+U49),(((M49)*$M$25)+(N49)*$M$25)+O49+T49+U49))))),0)</f>
        <v xml:space="preserve"> </v>
      </c>
      <c r="X49" s="432"/>
      <c r="Y49" s="46"/>
    </row>
    <row r="50" spans="2:237" s="25" customFormat="1" ht="18" customHeight="1" thickBot="1">
      <c r="B50" s="82"/>
      <c r="C50" s="82"/>
      <c r="D50" s="378" t="s">
        <v>12</v>
      </c>
      <c r="E50" s="379"/>
      <c r="F50" s="379"/>
      <c r="G50" s="379"/>
      <c r="H50" s="379"/>
      <c r="I50" s="379"/>
      <c r="J50" s="219" t="str">
        <f>IF(SUM(J38:J49)=0," ",SUM(J38:J49))</f>
        <v xml:space="preserve"> </v>
      </c>
      <c r="K50" s="220"/>
      <c r="L50" s="469" t="str">
        <f>IF(O5="NACIONAL",IF(SUM(M38:N49)=0," ",SUM(M38:N49)),IF(SUM(M38:N49)=0," ",(SUM(M38:N49))*$M$25))</f>
        <v xml:space="preserve"> </v>
      </c>
      <c r="M50" s="469"/>
      <c r="N50" s="469"/>
      <c r="O50" s="429" t="str">
        <f>IF(SUM(O38:P49)=0," ",SUM(O38:P49))</f>
        <v xml:space="preserve"> </v>
      </c>
      <c r="P50" s="430"/>
      <c r="Q50" s="221"/>
      <c r="R50" s="219"/>
      <c r="S50" s="429" t="str">
        <f>IF(SUM(T38:T49)=0," ",SUM(T38:T49))</f>
        <v xml:space="preserve"> </v>
      </c>
      <c r="T50" s="430"/>
      <c r="U50" s="378" t="str">
        <f>IF(SUM(U38:V49)=0," ",SUM(U38:V49))</f>
        <v xml:space="preserve"> </v>
      </c>
      <c r="V50" s="378"/>
      <c r="W50" s="372" t="str">
        <f>IF(SUM(W38:X49)=0," ",SUM(W38:X49))</f>
        <v xml:space="preserve"> </v>
      </c>
      <c r="X50" s="373"/>
      <c r="Y50" s="82"/>
      <c r="IB50" s="20"/>
      <c r="IC50" s="20"/>
    </row>
    <row r="51" spans="2:237" ht="17.25" customHeight="1">
      <c r="B51" s="46"/>
      <c r="C51" s="46"/>
      <c r="D51" s="470">
        <v>17</v>
      </c>
      <c r="E51" s="281" t="s">
        <v>119</v>
      </c>
      <c r="F51" s="281"/>
      <c r="G51" s="281"/>
      <c r="H51" s="281"/>
      <c r="I51" s="281"/>
      <c r="J51" s="281"/>
      <c r="K51" s="45"/>
      <c r="L51" s="463" t="str">
        <f>IF(SUM(L50)=0," ",IF(((SUM(L50)-Y52))&lt;0,"0",(SUM(L50)-Y52)))</f>
        <v xml:space="preserve"> </v>
      </c>
      <c r="M51" s="464"/>
      <c r="N51" s="465"/>
      <c r="O51" s="41"/>
      <c r="P51" s="40"/>
      <c r="Q51" s="43"/>
      <c r="R51" s="67"/>
      <c r="S51" s="1"/>
      <c r="T51" s="1"/>
      <c r="U51" s="2"/>
      <c r="V51" s="2"/>
      <c r="W51" s="1"/>
      <c r="X51" s="1"/>
      <c r="Y51" s="424" t="s">
        <v>13</v>
      </c>
      <c r="Z51" s="424"/>
    </row>
    <row r="52" spans="2:237" ht="17.25" customHeight="1" thickBot="1">
      <c r="B52" s="46"/>
      <c r="C52" s="46"/>
      <c r="D52" s="471"/>
      <c r="E52" s="472" t="s">
        <v>274</v>
      </c>
      <c r="F52" s="472"/>
      <c r="G52" s="472"/>
      <c r="H52" s="472"/>
      <c r="I52" s="472"/>
      <c r="J52" s="472"/>
      <c r="K52" s="83"/>
      <c r="L52" s="466"/>
      <c r="M52" s="467"/>
      <c r="N52" s="468"/>
      <c r="O52" s="42"/>
      <c r="P52" s="43"/>
      <c r="Q52" s="43"/>
      <c r="R52" s="67"/>
      <c r="S52" s="1"/>
      <c r="T52" s="1"/>
      <c r="U52" s="2"/>
      <c r="V52" s="2"/>
      <c r="W52" s="1"/>
      <c r="X52" s="1"/>
      <c r="Y52" s="425">
        <f>IF(O5="EXTERIOR",SUM('RELACION FACTURAS'!G40+'RELACION FACTURAS'!G58),SUM('RELACION FACTURAS'!G40))</f>
        <v>0</v>
      </c>
      <c r="Z52" s="425"/>
    </row>
    <row r="53" spans="2:237" ht="17.25" customHeight="1" thickBot="1">
      <c r="B53" s="46"/>
      <c r="C53" s="46"/>
      <c r="D53" s="84"/>
      <c r="E53" s="85"/>
      <c r="F53" s="85"/>
      <c r="G53" s="85"/>
      <c r="H53" s="85"/>
      <c r="I53" s="85"/>
      <c r="J53" s="85"/>
      <c r="K53" s="86"/>
      <c r="L53" s="86"/>
      <c r="M53" s="87"/>
      <c r="N53" s="87"/>
      <c r="O53" s="87"/>
      <c r="P53" s="67"/>
      <c r="Q53" s="67"/>
      <c r="R53" s="1"/>
      <c r="S53" s="1"/>
      <c r="T53" s="2"/>
      <c r="U53" s="2"/>
      <c r="V53" s="1"/>
      <c r="W53" s="1"/>
      <c r="X53" s="1"/>
      <c r="Y53" s="88"/>
      <c r="Z53" s="26"/>
    </row>
    <row r="54" spans="2:237" ht="32.25" customHeight="1" thickBot="1">
      <c r="B54" s="46"/>
      <c r="C54" s="367" t="s">
        <v>67</v>
      </c>
      <c r="D54" s="368"/>
      <c r="E54" s="368"/>
      <c r="F54" s="384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6"/>
      <c r="Y54" s="88"/>
      <c r="Z54" s="27"/>
    </row>
    <row r="55" spans="2:237" ht="10.5" customHeight="1">
      <c r="B55" s="46"/>
      <c r="C55" s="46"/>
      <c r="D55" s="67"/>
      <c r="E55" s="67"/>
      <c r="F55" s="67"/>
      <c r="G55" s="67"/>
      <c r="H55" s="67"/>
      <c r="I55" s="67"/>
      <c r="J55" s="67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29"/>
    </row>
    <row r="56" spans="2:237" ht="6" customHeight="1">
      <c r="B56" s="46"/>
      <c r="C56" s="46"/>
      <c r="D56" s="46"/>
      <c r="E56" s="90"/>
      <c r="F56" s="90"/>
      <c r="G56" s="90"/>
      <c r="H56" s="90"/>
      <c r="I56" s="90"/>
      <c r="J56" s="90"/>
      <c r="K56" s="5"/>
      <c r="L56" s="5"/>
      <c r="M56" s="5"/>
      <c r="N56" s="5"/>
      <c r="O56" s="5"/>
      <c r="P56" s="5"/>
      <c r="Q56" s="5"/>
      <c r="R56" s="369"/>
      <c r="S56" s="369"/>
      <c r="T56" s="369"/>
      <c r="U56" s="369"/>
      <c r="V56" s="370"/>
      <c r="W56" s="370"/>
      <c r="X56" s="370"/>
      <c r="Y56" s="46"/>
    </row>
    <row r="57" spans="2:237" s="28" customFormat="1" ht="15.75" customHeight="1">
      <c r="B57" s="5"/>
      <c r="C57" s="280">
        <v>18</v>
      </c>
      <c r="D57" s="281"/>
      <c r="E57" s="281"/>
      <c r="F57" s="281"/>
      <c r="G57" s="281"/>
      <c r="H57" s="281"/>
      <c r="I57" s="281"/>
      <c r="J57" s="371"/>
      <c r="K57" s="5"/>
      <c r="L57" s="280">
        <v>19</v>
      </c>
      <c r="M57" s="281"/>
      <c r="N57" s="281"/>
      <c r="O57" s="371"/>
      <c r="P57" s="5"/>
      <c r="Q57" s="5"/>
      <c r="R57" s="5"/>
      <c r="S57" s="5"/>
      <c r="T57" s="5"/>
      <c r="U57" s="3"/>
      <c r="V57" s="91"/>
      <c r="W57" s="92"/>
      <c r="X57" s="5"/>
      <c r="Y57" s="93"/>
    </row>
    <row r="58" spans="2:237" s="28" customFormat="1">
      <c r="B58" s="5"/>
      <c r="C58" s="284" t="s">
        <v>24</v>
      </c>
      <c r="D58" s="285"/>
      <c r="E58" s="285"/>
      <c r="F58" s="285"/>
      <c r="G58" s="285"/>
      <c r="H58" s="285"/>
      <c r="I58" s="285"/>
      <c r="J58" s="289"/>
      <c r="K58" s="5"/>
      <c r="L58" s="284" t="s">
        <v>25</v>
      </c>
      <c r="M58" s="285"/>
      <c r="N58" s="285"/>
      <c r="O58" s="289"/>
      <c r="P58" s="365"/>
      <c r="Q58" s="366"/>
      <c r="R58" s="366"/>
      <c r="S58" s="366"/>
      <c r="T58" s="366"/>
      <c r="U58" s="366"/>
      <c r="V58" s="366"/>
      <c r="W58" s="366"/>
      <c r="X58" s="5"/>
      <c r="Y58" s="93"/>
    </row>
    <row r="59" spans="2:237" ht="15.75" customHeight="1">
      <c r="B59" s="46"/>
      <c r="C59" s="357" t="s">
        <v>4</v>
      </c>
      <c r="D59" s="324"/>
      <c r="E59" s="324"/>
      <c r="F59" s="358"/>
      <c r="G59" s="323" t="s">
        <v>183</v>
      </c>
      <c r="H59" s="324"/>
      <c r="I59" s="324"/>
      <c r="J59" s="325"/>
      <c r="K59" s="81"/>
      <c r="L59" s="387"/>
      <c r="M59" s="388"/>
      <c r="N59" s="388"/>
      <c r="O59" s="389"/>
      <c r="P59" s="46"/>
      <c r="Q59" s="46"/>
      <c r="R59" s="46"/>
      <c r="S59" s="46"/>
      <c r="T59" s="94"/>
      <c r="U59" s="4"/>
      <c r="V59" s="95"/>
      <c r="W59" s="5"/>
      <c r="X59" s="46"/>
      <c r="Y59" s="29"/>
    </row>
    <row r="60" spans="2:237" ht="16.5" customHeight="1">
      <c r="B60" s="46"/>
      <c r="C60" s="257" t="str">
        <f>IF((L60)&lt;0,"X"," ")</f>
        <v xml:space="preserve"> </v>
      </c>
      <c r="D60" s="258"/>
      <c r="E60" s="258"/>
      <c r="F60" s="259"/>
      <c r="G60" s="257" t="str">
        <f>IF(L60&gt;0,"X"," ")</f>
        <v xml:space="preserve"> </v>
      </c>
      <c r="H60" s="258"/>
      <c r="I60" s="258"/>
      <c r="J60" s="259"/>
      <c r="K60" s="46"/>
      <c r="L60" s="326">
        <f>IF(O5="NACIONAL",(SUM(W38:X49))-(SUM(S25:X29)-S30),(SUM(W38:X49))-(SUM(P25:R29)-P30))</f>
        <v>0</v>
      </c>
      <c r="M60" s="327"/>
      <c r="N60" s="327"/>
      <c r="O60" s="328"/>
      <c r="P60" s="46"/>
      <c r="Q60" s="46"/>
      <c r="R60" s="46"/>
      <c r="S60" s="46"/>
      <c r="T60" s="96"/>
      <c r="U60" s="4"/>
      <c r="V60" s="95"/>
      <c r="W60" s="5"/>
      <c r="X60" s="46"/>
      <c r="Y60" s="29"/>
    </row>
    <row r="61" spans="2:237" ht="15.75" customHeight="1" thickBot="1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2:237" ht="24.75" customHeight="1">
      <c r="B62" s="46"/>
      <c r="C62" s="308" t="s">
        <v>115</v>
      </c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10"/>
      <c r="Y62" s="29"/>
    </row>
    <row r="63" spans="2:237" ht="13.5" customHeight="1">
      <c r="B63" s="46"/>
      <c r="C63" s="311" t="s">
        <v>116</v>
      </c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3"/>
      <c r="Y63" s="29"/>
    </row>
    <row r="64" spans="2:237" ht="14.25" customHeight="1" thickBot="1">
      <c r="B64" s="46"/>
      <c r="C64" s="314" t="s">
        <v>758</v>
      </c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3"/>
      <c r="Y64" s="29"/>
    </row>
    <row r="65" spans="2:25" s="38" customFormat="1" ht="17.25" customHeight="1">
      <c r="B65" s="2"/>
      <c r="C65" s="97" t="s">
        <v>192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316" t="s">
        <v>113</v>
      </c>
      <c r="O65" s="317"/>
      <c r="P65" s="317"/>
      <c r="Q65" s="317"/>
      <c r="R65" s="317"/>
      <c r="S65" s="317"/>
      <c r="T65" s="317"/>
      <c r="U65" s="317"/>
      <c r="V65" s="317"/>
      <c r="W65" s="317"/>
      <c r="X65" s="318"/>
      <c r="Y65" s="98"/>
    </row>
    <row r="66" spans="2:25" ht="25.5" customHeight="1">
      <c r="B66" s="46"/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46"/>
      <c r="N66" s="101"/>
      <c r="O66" s="102"/>
      <c r="P66" s="102"/>
      <c r="Q66" s="102"/>
      <c r="R66" s="102"/>
      <c r="S66" s="102"/>
      <c r="T66" s="102"/>
      <c r="U66" s="102"/>
      <c r="V66" s="102"/>
      <c r="W66" s="102"/>
      <c r="X66" s="103"/>
      <c r="Y66" s="29"/>
    </row>
    <row r="67" spans="2:25" ht="24" customHeight="1">
      <c r="B67" s="46"/>
      <c r="C67" s="104" t="s">
        <v>114</v>
      </c>
      <c r="D67" s="46"/>
      <c r="E67" s="459"/>
      <c r="F67" s="459"/>
      <c r="G67" s="459"/>
      <c r="H67" s="459"/>
      <c r="I67" s="459"/>
      <c r="J67" s="459"/>
      <c r="K67" s="459"/>
      <c r="L67" s="459"/>
      <c r="M67" s="46"/>
      <c r="N67" s="105" t="s">
        <v>114</v>
      </c>
      <c r="O67" s="29"/>
      <c r="P67" s="461"/>
      <c r="Q67" s="461"/>
      <c r="R67" s="461"/>
      <c r="S67" s="461"/>
      <c r="T67" s="461"/>
      <c r="U67" s="461"/>
      <c r="V67" s="461"/>
      <c r="W67" s="461"/>
      <c r="X67" s="106"/>
      <c r="Y67" s="29"/>
    </row>
    <row r="68" spans="2:25" ht="22.5" customHeight="1">
      <c r="B68" s="46"/>
      <c r="C68" s="104" t="s">
        <v>10</v>
      </c>
      <c r="D68" s="46"/>
      <c r="E68" s="460"/>
      <c r="F68" s="460"/>
      <c r="G68" s="460"/>
      <c r="H68" s="460"/>
      <c r="I68" s="460"/>
      <c r="J68" s="460"/>
      <c r="K68" s="460"/>
      <c r="L68" s="460"/>
      <c r="M68" s="46"/>
      <c r="N68" s="105" t="s">
        <v>105</v>
      </c>
      <c r="O68" s="29"/>
      <c r="P68" s="462"/>
      <c r="Q68" s="462"/>
      <c r="R68" s="462"/>
      <c r="S68" s="462"/>
      <c r="T68" s="462"/>
      <c r="U68" s="462"/>
      <c r="V68" s="462"/>
      <c r="W68" s="462"/>
      <c r="X68" s="106"/>
      <c r="Y68" s="29"/>
    </row>
    <row r="69" spans="2:25" ht="8.25" customHeight="1" thickBot="1">
      <c r="B69" s="46"/>
      <c r="C69" s="108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10"/>
      <c r="O69" s="111"/>
      <c r="P69" s="111"/>
      <c r="Q69" s="111"/>
      <c r="R69" s="109"/>
      <c r="S69" s="109"/>
      <c r="T69" s="109"/>
      <c r="U69" s="109"/>
      <c r="V69" s="109"/>
      <c r="W69" s="112"/>
      <c r="X69" s="113"/>
      <c r="Y69" s="29"/>
    </row>
    <row r="70" spans="2:25" ht="17.100000000000001" customHeight="1">
      <c r="B70" s="46"/>
      <c r="C70" s="46"/>
      <c r="D70" s="66"/>
      <c r="E70" s="46"/>
      <c r="F70" s="46"/>
      <c r="G70" s="46"/>
      <c r="H70" s="46"/>
      <c r="I70" s="46"/>
      <c r="J70" s="107"/>
      <c r="K70" s="107"/>
      <c r="L70" s="107"/>
      <c r="M70" s="107"/>
      <c r="N70" s="107"/>
      <c r="O70" s="107"/>
      <c r="P70" s="68"/>
      <c r="Q70" s="68"/>
      <c r="R70" s="68"/>
      <c r="S70" s="68"/>
      <c r="T70" s="68"/>
      <c r="U70" s="68"/>
      <c r="V70" s="68"/>
      <c r="W70" s="68"/>
      <c r="X70" s="68"/>
      <c r="Y70" s="46"/>
    </row>
    <row r="71" spans="2:25" ht="6.75" customHeight="1">
      <c r="B71" s="46"/>
      <c r="C71" s="114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112" ht="11.25" thickBot="1"/>
    <row r="113" spans="2:27" ht="11.25" thickTop="1">
      <c r="B113" s="115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7"/>
    </row>
    <row r="114" spans="2:27" ht="18">
      <c r="B114" s="203" t="s">
        <v>177</v>
      </c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5"/>
    </row>
    <row r="115" spans="2:27" ht="18">
      <c r="B115" s="118"/>
      <c r="C115" s="119" t="s">
        <v>35</v>
      </c>
      <c r="D115" s="29"/>
      <c r="E115" s="120"/>
      <c r="F115" s="29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29"/>
      <c r="AA115" s="121"/>
    </row>
    <row r="116" spans="2:27" ht="18">
      <c r="B116" s="118"/>
      <c r="C116" s="188" t="s">
        <v>830</v>
      </c>
      <c r="D116" s="29"/>
      <c r="E116" s="120"/>
      <c r="F116" s="29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29"/>
      <c r="AA116" s="121"/>
    </row>
    <row r="117" spans="2:27" ht="18">
      <c r="B117" s="124"/>
      <c r="C117" s="188" t="s">
        <v>783</v>
      </c>
      <c r="D117" s="29"/>
      <c r="E117" s="120"/>
      <c r="F117" s="29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206" t="s">
        <v>65</v>
      </c>
      <c r="Y117" s="206"/>
      <c r="Z117" s="206"/>
      <c r="AA117" s="121"/>
    </row>
    <row r="118" spans="2:27" ht="14.25">
      <c r="B118" s="122"/>
      <c r="C118" s="123" t="s">
        <v>184</v>
      </c>
      <c r="E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77"/>
      <c r="V118" s="77"/>
      <c r="W118" s="77"/>
      <c r="X118" s="29"/>
      <c r="Y118" s="29"/>
      <c r="Z118" s="29"/>
      <c r="AA118" s="121"/>
    </row>
    <row r="119" spans="2:27" ht="15.95" customHeight="1">
      <c r="B119" s="124">
        <v>1</v>
      </c>
      <c r="C119" s="125" t="s">
        <v>185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121"/>
    </row>
    <row r="120" spans="2:27" ht="15.95" customHeight="1">
      <c r="B120" s="124">
        <v>2</v>
      </c>
      <c r="C120" s="125" t="s">
        <v>768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121"/>
    </row>
    <row r="121" spans="2:27" ht="15.95" customHeight="1">
      <c r="B121" s="124">
        <v>3</v>
      </c>
      <c r="C121" s="125" t="s">
        <v>186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121"/>
    </row>
    <row r="122" spans="2:27" ht="15.95" customHeight="1">
      <c r="B122" s="124">
        <v>4</v>
      </c>
      <c r="C122" s="148" t="s">
        <v>187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121"/>
    </row>
    <row r="123" spans="2:27" ht="14.25">
      <c r="B123" s="124"/>
      <c r="C123" s="125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121"/>
    </row>
    <row r="124" spans="2:27" ht="14.25">
      <c r="B124" s="122"/>
      <c r="C124" s="123" t="s">
        <v>27</v>
      </c>
      <c r="E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77"/>
      <c r="V124" s="77"/>
      <c r="W124" s="77"/>
      <c r="X124" s="77"/>
      <c r="Y124" s="77"/>
      <c r="Z124" s="29"/>
      <c r="AA124" s="121"/>
    </row>
    <row r="125" spans="2:27" ht="15.95" customHeight="1">
      <c r="B125" s="126">
        <v>5</v>
      </c>
      <c r="C125" s="127" t="s">
        <v>104</v>
      </c>
      <c r="D125" s="29"/>
      <c r="E125" s="29"/>
      <c r="F125" s="29"/>
      <c r="G125" s="127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121"/>
    </row>
    <row r="126" spans="2:27" ht="15.95" customHeight="1">
      <c r="B126" s="126">
        <v>6</v>
      </c>
      <c r="C126" s="127" t="s">
        <v>28</v>
      </c>
      <c r="D126" s="29"/>
      <c r="E126" s="12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121"/>
    </row>
    <row r="127" spans="2:27" ht="15.95" customHeight="1">
      <c r="B127" s="126">
        <v>7</v>
      </c>
      <c r="C127" s="127" t="s">
        <v>103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121"/>
    </row>
    <row r="128" spans="2:27" ht="15.95" customHeight="1">
      <c r="B128" s="126"/>
      <c r="C128" s="12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121"/>
    </row>
    <row r="129" spans="2:27" ht="14.25">
      <c r="B129" s="122"/>
      <c r="C129" s="123" t="s">
        <v>29</v>
      </c>
      <c r="E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77"/>
      <c r="V129" s="77"/>
      <c r="W129" s="77"/>
      <c r="X129" s="77"/>
      <c r="Y129" s="77"/>
      <c r="Z129" s="29"/>
      <c r="AA129" s="121"/>
    </row>
    <row r="130" spans="2:27" ht="15.95" customHeight="1">
      <c r="B130" s="126">
        <v>8</v>
      </c>
      <c r="C130" s="127" t="s">
        <v>30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121"/>
    </row>
    <row r="131" spans="2:27" ht="15.95" customHeight="1">
      <c r="B131" s="126">
        <v>9</v>
      </c>
      <c r="C131" s="127" t="s">
        <v>31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121"/>
    </row>
    <row r="132" spans="2:27" ht="15.95" customHeight="1">
      <c r="B132" s="126" t="s">
        <v>302</v>
      </c>
      <c r="C132" s="127" t="s">
        <v>775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121"/>
    </row>
    <row r="133" spans="2:27" ht="15.95" customHeight="1">
      <c r="B133" s="126" t="s">
        <v>771</v>
      </c>
      <c r="C133" s="127" t="s">
        <v>776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121"/>
    </row>
    <row r="134" spans="2:27" ht="15.95" customHeight="1">
      <c r="B134" s="126" t="s">
        <v>772</v>
      </c>
      <c r="C134" s="148" t="s">
        <v>781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121"/>
    </row>
    <row r="135" spans="2:27" ht="15.95" customHeight="1">
      <c r="B135" s="126">
        <v>10</v>
      </c>
      <c r="C135" s="127" t="s">
        <v>769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121"/>
    </row>
    <row r="136" spans="2:27" ht="15.95" customHeight="1">
      <c r="B136" s="126"/>
      <c r="C136" s="12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121"/>
    </row>
    <row r="137" spans="2:27" ht="15.95" customHeight="1">
      <c r="B137" s="126"/>
      <c r="C137" s="123" t="s">
        <v>120</v>
      </c>
      <c r="U137" s="29"/>
      <c r="V137" s="29"/>
      <c r="W137" s="29"/>
      <c r="X137" s="29"/>
      <c r="Y137" s="29"/>
      <c r="Z137" s="29"/>
      <c r="AA137" s="121"/>
    </row>
    <row r="138" spans="2:27" ht="15.95" customHeight="1">
      <c r="B138" s="126">
        <v>11</v>
      </c>
      <c r="C138" s="127" t="s">
        <v>777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121"/>
    </row>
    <row r="139" spans="2:27" ht="15.95" customHeight="1">
      <c r="B139" s="126">
        <v>12</v>
      </c>
      <c r="C139" s="127" t="s">
        <v>47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121"/>
    </row>
    <row r="140" spans="2:27" ht="15.95" customHeight="1">
      <c r="B140" s="126">
        <v>13</v>
      </c>
      <c r="C140" s="127" t="s">
        <v>66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121"/>
    </row>
    <row r="141" spans="2:27" ht="33" customHeight="1">
      <c r="B141" s="126" t="s">
        <v>178</v>
      </c>
      <c r="C141" s="191" t="s">
        <v>188</v>
      </c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2"/>
    </row>
    <row r="142" spans="2:27" ht="15.95" customHeight="1">
      <c r="B142" s="126" t="s">
        <v>773</v>
      </c>
      <c r="C142" s="148" t="s">
        <v>778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121"/>
    </row>
    <row r="143" spans="2:27" ht="15.95" customHeight="1">
      <c r="B143" s="126" t="s">
        <v>774</v>
      </c>
      <c r="C143" s="148" t="s">
        <v>779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121"/>
    </row>
    <row r="144" spans="2:27" ht="15.75" customHeight="1">
      <c r="B144" s="126"/>
      <c r="C144" s="129" t="s">
        <v>179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121"/>
    </row>
    <row r="145" spans="2:27" ht="15.95" customHeight="1">
      <c r="B145" s="126">
        <v>15</v>
      </c>
      <c r="C145" s="127" t="s">
        <v>33</v>
      </c>
      <c r="D145" s="29"/>
      <c r="E145" s="29"/>
      <c r="F145" s="29"/>
      <c r="G145" s="29"/>
      <c r="H145" s="29"/>
      <c r="I145" s="29"/>
      <c r="J145" s="29"/>
      <c r="K145" s="130" t="s">
        <v>189</v>
      </c>
      <c r="L145" s="130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121"/>
    </row>
    <row r="146" spans="2:27" ht="15.95" customHeight="1">
      <c r="B146" s="126"/>
      <c r="C146" s="127"/>
      <c r="D146" s="29"/>
      <c r="E146" s="29"/>
      <c r="F146" s="29"/>
      <c r="G146" s="29"/>
      <c r="H146" s="29"/>
      <c r="I146" s="29"/>
      <c r="J146" s="29"/>
      <c r="K146" s="130" t="s">
        <v>34</v>
      </c>
      <c r="L146" s="130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121"/>
    </row>
    <row r="147" spans="2:27" ht="15.95" customHeight="1">
      <c r="B147" s="126"/>
      <c r="C147" s="127"/>
      <c r="D147" s="29"/>
      <c r="E147" s="29"/>
      <c r="F147" s="29"/>
      <c r="G147" s="29"/>
      <c r="H147" s="29"/>
      <c r="I147" s="29"/>
      <c r="J147" s="29"/>
      <c r="K147" s="130" t="s">
        <v>190</v>
      </c>
      <c r="L147" s="130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121"/>
    </row>
    <row r="148" spans="2:27" ht="15.95" customHeight="1">
      <c r="B148" s="126">
        <v>17</v>
      </c>
      <c r="C148" s="128" t="s">
        <v>176</v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121"/>
    </row>
    <row r="149" spans="2:27" ht="15.95" customHeight="1">
      <c r="B149" s="126"/>
      <c r="C149" s="129" t="s">
        <v>36</v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121"/>
    </row>
    <row r="150" spans="2:27" ht="15.95" customHeight="1">
      <c r="B150" s="126"/>
      <c r="C150" s="129" t="s">
        <v>80</v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121"/>
    </row>
    <row r="151" spans="2:27" ht="14.25">
      <c r="B151" s="126"/>
      <c r="C151" s="127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121"/>
    </row>
    <row r="152" spans="2:27" ht="15.95" customHeight="1">
      <c r="B152" s="126">
        <v>18</v>
      </c>
      <c r="C152" s="128" t="s">
        <v>191</v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121"/>
    </row>
    <row r="153" spans="2:27" ht="15.95" customHeight="1">
      <c r="B153" s="126">
        <v>19</v>
      </c>
      <c r="C153" s="128" t="s">
        <v>780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121"/>
    </row>
    <row r="154" spans="2:27">
      <c r="B154" s="131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121"/>
    </row>
    <row r="155" spans="2:27">
      <c r="B155" s="131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121"/>
    </row>
    <row r="156" spans="2:27">
      <c r="B156" s="132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121"/>
    </row>
    <row r="157" spans="2:27" ht="11.25" thickBot="1">
      <c r="B157" s="133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5"/>
    </row>
    <row r="158" spans="2:27" ht="11.25" thickTop="1"/>
    <row r="2024" spans="30:31" ht="14.25">
      <c r="AD2024" s="136"/>
      <c r="AE2024" s="137"/>
    </row>
    <row r="2025" spans="30:31" ht="14.25">
      <c r="AD2025" s="136"/>
      <c r="AE2025" s="137"/>
    </row>
    <row r="2026" spans="30:31" ht="14.25">
      <c r="AD2026" s="136"/>
      <c r="AE2026" s="137"/>
    </row>
    <row r="2027" spans="30:31" ht="14.25">
      <c r="AD2027" s="136"/>
      <c r="AE2027" s="137"/>
    </row>
    <row r="2028" spans="30:31" ht="14.25">
      <c r="AD2028" s="136"/>
      <c r="AE2028" s="137"/>
    </row>
    <row r="2029" spans="30:31" ht="14.25">
      <c r="AD2029" s="136"/>
      <c r="AE2029" s="137"/>
    </row>
    <row r="2030" spans="30:31" ht="14.25">
      <c r="AD2030" s="136"/>
      <c r="AE2030" s="137"/>
    </row>
    <row r="2031" spans="30:31" ht="14.25">
      <c r="AD2031" s="136"/>
      <c r="AE2031" s="137"/>
    </row>
    <row r="2032" spans="30:31" ht="14.25">
      <c r="AD2032" s="136"/>
      <c r="AE2032" s="137"/>
    </row>
    <row r="2033" spans="30:32" ht="14.25">
      <c r="AD2033" s="35"/>
      <c r="AE2033" s="36"/>
    </row>
    <row r="2034" spans="30:32" ht="14.25">
      <c r="AD2034" s="35"/>
      <c r="AE2034" s="36"/>
    </row>
    <row r="2035" spans="30:32" ht="14.25">
      <c r="AD2035" s="35"/>
      <c r="AE2035" s="36"/>
    </row>
    <row r="2036" spans="30:32" ht="14.25">
      <c r="AD2036" s="37"/>
      <c r="AE2036" s="36"/>
    </row>
    <row r="2037" spans="30:32" ht="14.25">
      <c r="AD2037" s="37"/>
      <c r="AE2037" s="36"/>
    </row>
    <row r="2038" spans="30:32" ht="14.25">
      <c r="AD2038" s="37"/>
      <c r="AE2038" s="36"/>
    </row>
    <row r="2043" spans="30:32" ht="14.25">
      <c r="AD2043" s="137"/>
      <c r="AE2043" s="137"/>
      <c r="AF2043" s="137"/>
    </row>
  </sheetData>
  <mergeCells count="207">
    <mergeCell ref="AA5:AB5"/>
    <mergeCell ref="O43:P43"/>
    <mergeCell ref="D40:G40"/>
    <mergeCell ref="D41:G41"/>
    <mergeCell ref="W40:X40"/>
    <mergeCell ref="W41:X41"/>
    <mergeCell ref="O40:P40"/>
    <mergeCell ref="U40:V40"/>
    <mergeCell ref="O41:P41"/>
    <mergeCell ref="J22:L22"/>
    <mergeCell ref="J23:L23"/>
    <mergeCell ref="J24:L24"/>
    <mergeCell ref="J25:L25"/>
    <mergeCell ref="P29:R29"/>
    <mergeCell ref="T18:X18"/>
    <mergeCell ref="T19:X19"/>
    <mergeCell ref="P22:R22"/>
    <mergeCell ref="P23:R23"/>
    <mergeCell ref="P24:R24"/>
    <mergeCell ref="C29:E29"/>
    <mergeCell ref="F29:G29"/>
    <mergeCell ref="H29:I29"/>
    <mergeCell ref="F26:G26"/>
    <mergeCell ref="D39:G39"/>
    <mergeCell ref="P27:R27"/>
    <mergeCell ref="P28:R28"/>
    <mergeCell ref="N29:O29"/>
    <mergeCell ref="Q36:T36"/>
    <mergeCell ref="U39:V39"/>
    <mergeCell ref="N31:O31"/>
    <mergeCell ref="P31:R31"/>
    <mergeCell ref="J36:J37"/>
    <mergeCell ref="U36:V37"/>
    <mergeCell ref="O36:P37"/>
    <mergeCell ref="K34:K37"/>
    <mergeCell ref="M35:M37"/>
    <mergeCell ref="O34:V34"/>
    <mergeCell ref="O35:V35"/>
    <mergeCell ref="O38:P38"/>
    <mergeCell ref="U38:V38"/>
    <mergeCell ref="S26:X26"/>
    <mergeCell ref="C21:X21"/>
    <mergeCell ref="N22:O22"/>
    <mergeCell ref="E67:L67"/>
    <mergeCell ref="E68:L68"/>
    <mergeCell ref="P67:W67"/>
    <mergeCell ref="P68:W68"/>
    <mergeCell ref="L51:N52"/>
    <mergeCell ref="L50:N50"/>
    <mergeCell ref="W43:X43"/>
    <mergeCell ref="U41:V41"/>
    <mergeCell ref="D51:D52"/>
    <mergeCell ref="E52:J52"/>
    <mergeCell ref="O44:P44"/>
    <mergeCell ref="U46:V46"/>
    <mergeCell ref="U47:V47"/>
    <mergeCell ref="U48:V48"/>
    <mergeCell ref="U49:V49"/>
    <mergeCell ref="D42:G42"/>
    <mergeCell ref="U42:V42"/>
    <mergeCell ref="D45:G45"/>
    <mergeCell ref="U44:V44"/>
    <mergeCell ref="U43:V43"/>
    <mergeCell ref="W45:X45"/>
    <mergeCell ref="W34:X34"/>
    <mergeCell ref="W35:X37"/>
    <mergeCell ref="S28:X28"/>
    <mergeCell ref="N28:O28"/>
    <mergeCell ref="J28:L28"/>
    <mergeCell ref="D35:G37"/>
    <mergeCell ref="C28:E28"/>
    <mergeCell ref="F28:G28"/>
    <mergeCell ref="H28:I28"/>
    <mergeCell ref="S30:X30"/>
    <mergeCell ref="P30:R30"/>
    <mergeCell ref="N30:O30"/>
    <mergeCell ref="P14:V14"/>
    <mergeCell ref="C25:E25"/>
    <mergeCell ref="F25:G25"/>
    <mergeCell ref="H25:I25"/>
    <mergeCell ref="F27:G27"/>
    <mergeCell ref="H27:I27"/>
    <mergeCell ref="H24:I24"/>
    <mergeCell ref="C23:I23"/>
    <mergeCell ref="C24:E24"/>
    <mergeCell ref="N27:O27"/>
    <mergeCell ref="J27:L27"/>
    <mergeCell ref="S25:X25"/>
    <mergeCell ref="S23:X24"/>
    <mergeCell ref="N26:O26"/>
    <mergeCell ref="J26:L26"/>
    <mergeCell ref="S27:X27"/>
    <mergeCell ref="C22:I22"/>
    <mergeCell ref="S22:X22"/>
    <mergeCell ref="H26:I26"/>
    <mergeCell ref="C27:E27"/>
    <mergeCell ref="F19:S19"/>
    <mergeCell ref="C26:E26"/>
    <mergeCell ref="N23:O23"/>
    <mergeCell ref="N24:O24"/>
    <mergeCell ref="Y51:Z51"/>
    <mergeCell ref="Y52:Z52"/>
    <mergeCell ref="O42:P42"/>
    <mergeCell ref="U45:V45"/>
    <mergeCell ref="D46:G46"/>
    <mergeCell ref="S50:T50"/>
    <mergeCell ref="U50:V50"/>
    <mergeCell ref="E51:J51"/>
    <mergeCell ref="W49:X49"/>
    <mergeCell ref="O50:P50"/>
    <mergeCell ref="D43:G43"/>
    <mergeCell ref="F1:X1"/>
    <mergeCell ref="S8:U8"/>
    <mergeCell ref="V8:X8"/>
    <mergeCell ref="D9:I9"/>
    <mergeCell ref="C19:E19"/>
    <mergeCell ref="C13:M13"/>
    <mergeCell ref="C11:X11"/>
    <mergeCell ref="V9:X9"/>
    <mergeCell ref="W12:X12"/>
    <mergeCell ref="O5:T6"/>
    <mergeCell ref="V7:X7"/>
    <mergeCell ref="C18:E18"/>
    <mergeCell ref="F18:S18"/>
    <mergeCell ref="P13:V13"/>
    <mergeCell ref="P12:V12"/>
    <mergeCell ref="J9:P9"/>
    <mergeCell ref="N14:O14"/>
    <mergeCell ref="S9:U9"/>
    <mergeCell ref="W13:X13"/>
    <mergeCell ref="W14:X14"/>
    <mergeCell ref="C14:M14"/>
    <mergeCell ref="D8:I8"/>
    <mergeCell ref="J8:P8"/>
    <mergeCell ref="C16:X16"/>
    <mergeCell ref="C59:F59"/>
    <mergeCell ref="O39:P39"/>
    <mergeCell ref="C35:C37"/>
    <mergeCell ref="O46:P46"/>
    <mergeCell ref="P58:W58"/>
    <mergeCell ref="C54:E54"/>
    <mergeCell ref="R56:U56"/>
    <mergeCell ref="V56:X56"/>
    <mergeCell ref="C57:J57"/>
    <mergeCell ref="L57:O57"/>
    <mergeCell ref="W50:X50"/>
    <mergeCell ref="W46:X46"/>
    <mergeCell ref="W47:X47"/>
    <mergeCell ref="W48:X48"/>
    <mergeCell ref="D50:I50"/>
    <mergeCell ref="I36:I37"/>
    <mergeCell ref="O45:P45"/>
    <mergeCell ref="W38:X38"/>
    <mergeCell ref="W39:X39"/>
    <mergeCell ref="W42:X42"/>
    <mergeCell ref="W44:X44"/>
    <mergeCell ref="F54:X54"/>
    <mergeCell ref="C58:J58"/>
    <mergeCell ref="L58:O59"/>
    <mergeCell ref="C62:X62"/>
    <mergeCell ref="C63:X63"/>
    <mergeCell ref="C64:X64"/>
    <mergeCell ref="N65:X65"/>
    <mergeCell ref="S29:X29"/>
    <mergeCell ref="C33:X33"/>
    <mergeCell ref="G59:J59"/>
    <mergeCell ref="C60:F60"/>
    <mergeCell ref="L60:O60"/>
    <mergeCell ref="C46:C49"/>
    <mergeCell ref="D47:G47"/>
    <mergeCell ref="D48:G48"/>
    <mergeCell ref="D49:G49"/>
    <mergeCell ref="D44:G44"/>
    <mergeCell ref="D38:G38"/>
    <mergeCell ref="C31:M31"/>
    <mergeCell ref="J29:L29"/>
    <mergeCell ref="O47:P47"/>
    <mergeCell ref="O48:P48"/>
    <mergeCell ref="O49:P49"/>
    <mergeCell ref="H35:J35"/>
    <mergeCell ref="H36:H37"/>
    <mergeCell ref="N35:N37"/>
    <mergeCell ref="L35:L37"/>
    <mergeCell ref="AK4:AP4"/>
    <mergeCell ref="AK6:AP6"/>
    <mergeCell ref="H2:T4"/>
    <mergeCell ref="G60:J60"/>
    <mergeCell ref="C2:G6"/>
    <mergeCell ref="U2:V3"/>
    <mergeCell ref="U4:V4"/>
    <mergeCell ref="F24:G24"/>
    <mergeCell ref="W2:X3"/>
    <mergeCell ref="C17:E17"/>
    <mergeCell ref="F17:S17"/>
    <mergeCell ref="C12:M12"/>
    <mergeCell ref="H5:N6"/>
    <mergeCell ref="T17:X17"/>
    <mergeCell ref="N13:O13"/>
    <mergeCell ref="N12:O12"/>
    <mergeCell ref="P26:R26"/>
    <mergeCell ref="N25:O25"/>
    <mergeCell ref="P25:R25"/>
    <mergeCell ref="D34:G34"/>
    <mergeCell ref="H34:J34"/>
    <mergeCell ref="W4:X4"/>
    <mergeCell ref="W5:X6"/>
    <mergeCell ref="S31:X31"/>
  </mergeCells>
  <phoneticPr fontId="0" type="noConversion"/>
  <conditionalFormatting sqref="C14 N14:O14">
    <cfRule type="cellIs" dxfId="16" priority="2" operator="notEqual">
      <formula>#REF!</formula>
    </cfRule>
  </conditionalFormatting>
  <conditionalFormatting sqref="C19">
    <cfRule type="cellIs" dxfId="15" priority="1" operator="notEqual">
      <formula>#REF!</formula>
    </cfRule>
  </conditionalFormatting>
  <conditionalFormatting sqref="C25:C29 F25:F29 H25:H29 S25:S30 C38:I45 K38:K45 O38:S45 U38:V45 Y52:Y54 F54">
    <cfRule type="cellIs" dxfId="14" priority="34" stopIfTrue="1" operator="notEqual">
      <formula>#REF!</formula>
    </cfRule>
  </conditionalFormatting>
  <conditionalFormatting sqref="F7">
    <cfRule type="cellIs" priority="38" stopIfTrue="1" operator="notEqual">
      <formula>"C1"</formula>
    </cfRule>
  </conditionalFormatting>
  <conditionalFormatting sqref="J38:J49 T38:T49">
    <cfRule type="cellIs" dxfId="13" priority="21" stopIfTrue="1" operator="equal">
      <formula>0</formula>
    </cfRule>
  </conditionalFormatting>
  <conditionalFormatting sqref="J8:M9">
    <cfRule type="cellIs" dxfId="12" priority="11" stopIfTrue="1" operator="notEqual">
      <formula>#REF!</formula>
    </cfRule>
  </conditionalFormatting>
  <conditionalFormatting sqref="K46:L49">
    <cfRule type="cellIs" dxfId="11" priority="12" stopIfTrue="1" operator="notEqual">
      <formula>#REF!</formula>
    </cfRule>
  </conditionalFormatting>
  <conditionalFormatting sqref="L38:L45">
    <cfRule type="cellIs" dxfId="10" priority="36" stopIfTrue="1" operator="equal">
      <formula>0</formula>
    </cfRule>
  </conditionalFormatting>
  <conditionalFormatting sqref="O46:O49 R46:S49 U46:U49">
    <cfRule type="cellIs" dxfId="9" priority="20" stopIfTrue="1" operator="notEqual">
      <formula>#REF!</formula>
    </cfRule>
  </conditionalFormatting>
  <conditionalFormatting sqref="O5:T6">
    <cfRule type="containsText" dxfId="8" priority="28" stopIfTrue="1" operator="containsText" text="TARJETA AMEX">
      <formula>NOT(ISERROR(SEARCH("TARJETA AMEX",O5)))</formula>
    </cfRule>
    <cfRule type="containsText" dxfId="7" priority="29" stopIfTrue="1" operator="containsText" text="TARJETA PREPAGO">
      <formula>NOT(ISERROR(SEARCH("TARJETA PREPAGO",O5)))</formula>
    </cfRule>
    <cfRule type="containsText" dxfId="6" priority="31" stopIfTrue="1" operator="containsText" text="EXTERIOR">
      <formula>NOT(ISERROR(SEARCH("EXTERIOR",O5)))</formula>
    </cfRule>
    <cfRule type="containsText" dxfId="5" priority="32" stopIfTrue="1" operator="containsText" text="NACIONAL">
      <formula>NOT(ISERROR(SEARCH("NACIONAL",O5)))</formula>
    </cfRule>
  </conditionalFormatting>
  <conditionalFormatting sqref="P14:X14">
    <cfRule type="cellIs" dxfId="4" priority="8" stopIfTrue="1" operator="notEqual">
      <formula>#REF!</formula>
    </cfRule>
  </conditionalFormatting>
  <conditionalFormatting sqref="T19">
    <cfRule type="cellIs" dxfId="3" priority="37" stopIfTrue="1" operator="notEqual">
      <formula>#REF!</formula>
    </cfRule>
  </conditionalFormatting>
  <conditionalFormatting sqref="V8:W9">
    <cfRule type="cellIs" dxfId="2" priority="33" stopIfTrue="1" operator="notEqual">
      <formula>#REF!</formula>
    </cfRule>
  </conditionalFormatting>
  <dataValidations xWindow="361" yWindow="455" count="15">
    <dataValidation type="whole" allowBlank="1" showInputMessage="1" showErrorMessage="1" error="DIGITE EL NUMERO DEL MES" sqref="V10" xr:uid="{00000000-0002-0000-0000-000000000000}">
      <formula1>1</formula1>
      <formula2>12</formula2>
    </dataValidation>
    <dataValidation allowBlank="1" showInputMessage="1" showErrorMessage="1" prompt="FAVOR UTILIZAR LAS CASILLAS AZULES PARA REGISTRAR VALORES ADICIONALES O DISTINTOS A LOS LIQUIDADOS CON LA TARIFA" sqref="M38:M45" xr:uid="{00000000-0002-0000-0000-000001000000}"/>
    <dataValidation allowBlank="1" showErrorMessage="1" prompt="Favor relacionar las facturas correspondientes en el formato de RELACION DE FACTURAS.  _x000a__x000a_PARA IR AL FORMATO HAGA CLIK EN  &quot;FACTURAS&quot; ---&gt;  _x000a__x000a_El total sin facturas se calcula de manera automática" sqref="L51 O51:Q52" xr:uid="{00000000-0002-0000-0000-000002000000}"/>
    <dataValidation type="list" allowBlank="1" showInputMessage="1" showErrorMessage="1" prompt="Indique si el empleado canceló directamente el hotel o alojamiento. Debe anexarse la factura correspondiente." sqref="K38:K45" xr:uid="{00000000-0002-0000-0000-000003000000}">
      <formula1>"SI, NO"</formula1>
    </dataValidation>
    <dataValidation type="list" allowBlank="1" showInputMessage="1" showErrorMessage="1" error="POR FAVOR SELECCIONE UNA OPCIÓN DE LA LISTA DESPLEGABLE" sqref="T19" xr:uid="{00000000-0002-0000-0000-000004000000}">
      <formula1>INDIRECT("EMP")</formula1>
    </dataValidation>
    <dataValidation allowBlank="1" showInputMessage="1" showErrorMessage="1" prompt="Por favor seleccione el cargo" sqref="W14:X14" xr:uid="{00000000-0002-0000-0000-000005000000}"/>
    <dataValidation type="list" allowBlank="1" showInputMessage="1" showErrorMessage="1" sqref="C38:C45" xr:uid="{00000000-0002-0000-0000-000006000000}">
      <formula1>INDIRECT($Y$14)</formula1>
    </dataValidation>
    <dataValidation type="list" allowBlank="1" showInputMessage="1" showErrorMessage="1" sqref="O5:T6" xr:uid="{00000000-0002-0000-0000-000007000000}">
      <formula1>$IB$2:$IB$5</formula1>
    </dataValidation>
    <dataValidation type="list" allowBlank="1" showInputMessage="1" showErrorMessage="1" sqref="J9:P9" xr:uid="{00000000-0002-0000-0000-000008000000}">
      <formula1>INDIRECT(J8)</formula1>
    </dataValidation>
    <dataValidation type="list" allowBlank="1" showInputMessage="1" showErrorMessage="1" sqref="P14:V14" xr:uid="{00000000-0002-0000-0000-000009000000}">
      <formula1>PUESTOS</formula1>
    </dataValidation>
    <dataValidation type="list" allowBlank="1" showInputMessage="1" showErrorMessage="1" prompt=" - " sqref="C19" xr:uid="{00000000-0002-0000-0000-00000A000000}">
      <formula1>INDIRECT("MES")</formula1>
    </dataValidation>
    <dataValidation allowBlank="1" showInputMessage="1" showErrorMessage="1" prompt="Favor relacionar las facturas correspondientes en el formato de RELACION DE FACTURAS.  _x000a__x000a_HAGA CLIK EN  &quot;FACTURAS&quot; (arriba)  PARA IR AL FORMATO_x000a__x000a_El total sin facturas se calcula de manera automática" sqref="Y52:Z52" xr:uid="{00000000-0002-0000-0000-00000B000000}"/>
    <dataValidation type="list" allowBlank="1" showInputMessage="1" showErrorMessage="1" sqref="J8:P8" xr:uid="{00000000-0002-0000-0000-00000C000000}">
      <formula1>Dependencias</formula1>
    </dataValidation>
    <dataValidation type="list" allowBlank="1" showInputMessage="1" showErrorMessage="1" sqref="H2:T4" xr:uid="{00000000-0002-0000-0000-00000D000000}">
      <formula1>"FEDERACIÓN NACIONAL DE CAFETEROS DE COLOMBIA,ALMACENES GENERALES DE DEPÓSITO DE CAFÉ S.A - ALMACAFÉ"</formula1>
    </dataValidation>
    <dataValidation type="list" allowBlank="1" showInputMessage="1" showErrorMessage="1" prompt="Indique el empleado que clase de vehiculo uso para la comisión en ocasión al trabajo." sqref="Q38:Q45" xr:uid="{00000000-0002-0000-0000-00000E000000}">
      <formula1>"MOTO, CARRO"</formula1>
    </dataValidation>
  </dataValidations>
  <hyperlinks>
    <hyperlink ref="X117:Y117" location="B1" display="REGRESAR AL FORMATO" xr:uid="{00000000-0004-0000-0000-000000000000}"/>
    <hyperlink ref="Y51:Z51" location="'RELACION FACTURAS'!A1" display="FACTURAS" xr:uid="{00000000-0004-0000-0000-000001000000}"/>
    <hyperlink ref="C35:C37" location="'VIATICOS NACIONALES'!AW1" display="TARIFA DIARIA" xr:uid="{00000000-0004-0000-0000-000002000000}"/>
    <hyperlink ref="AA5:AB5" location="COMISIONES!B121" display="VER INSTRUCTIVO" xr:uid="{00000000-0004-0000-0000-000003000000}"/>
  </hyperlinks>
  <printOptions horizontalCentered="1"/>
  <pageMargins left="3.937007874015748E-2" right="3.937007874015748E-2" top="0.94488188976377963" bottom="0.86614173228346458" header="0.27559055118110237" footer="0"/>
  <pageSetup scale="51" orientation="portrait" blackAndWhite="1" r:id="rId1"/>
  <headerFooter alignWithMargins="0"/>
  <ignoredErrors>
    <ignoredError sqref="R8" evalError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showGridLines="0" workbookViewId="0">
      <selection activeCell="A12" sqref="A12"/>
    </sheetView>
  </sheetViews>
  <sheetFormatPr baseColWidth="10" defaultRowHeight="12.75"/>
  <cols>
    <col min="1" max="1" width="68.83203125" customWidth="1"/>
    <col min="2" max="2" width="30.33203125" customWidth="1"/>
    <col min="3" max="3" width="45.83203125" customWidth="1"/>
  </cols>
  <sheetData>
    <row r="1" spans="1:10" ht="108" customHeight="1">
      <c r="A1" s="210" t="s">
        <v>275</v>
      </c>
      <c r="B1" s="157" t="s">
        <v>793</v>
      </c>
      <c r="C1" s="211"/>
      <c r="D1" s="210"/>
      <c r="E1" s="210"/>
      <c r="F1" s="210"/>
      <c r="G1" s="210"/>
      <c r="H1" s="210"/>
      <c r="I1" s="210"/>
      <c r="J1" s="210"/>
    </row>
    <row r="2" spans="1:10" ht="85.5" customHeight="1">
      <c r="A2" s="157" t="s">
        <v>792</v>
      </c>
      <c r="B2" s="157" t="s">
        <v>794</v>
      </c>
      <c r="C2" s="211"/>
      <c r="D2" s="157"/>
      <c r="E2" s="157"/>
      <c r="F2" s="157"/>
      <c r="G2" s="157"/>
      <c r="H2" s="157"/>
      <c r="I2" s="157"/>
      <c r="J2" s="157"/>
    </row>
  </sheetData>
  <dataValidations count="1">
    <dataValidation type="list" allowBlank="1" showInputMessage="1" showErrorMessage="1" sqref="D2:J2 A2" xr:uid="{00000000-0002-0000-0100-000000000000}">
      <formula1>"FEDERACIÓN NACIONAL DE CAFETEROS DE COLOMBIA,ALMACENES GENERALES DE DEPÓSITO DE CAFÉ S.A - ALMACAFÉ"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autoPageBreaks="0" fitToPage="1"/>
  </sheetPr>
  <dimension ref="B1:J66"/>
  <sheetViews>
    <sheetView zoomScale="115" zoomScaleNormal="115" zoomScaleSheetLayoutView="75" workbookViewId="0">
      <selection activeCell="E17" sqref="E17"/>
    </sheetView>
  </sheetViews>
  <sheetFormatPr baseColWidth="10" defaultColWidth="13.33203125" defaultRowHeight="12.75"/>
  <cols>
    <col min="1" max="1" width="2.1640625" style="7" customWidth="1"/>
    <col min="2" max="2" width="3.83203125" style="7" customWidth="1"/>
    <col min="3" max="3" width="29.5" style="7" customWidth="1"/>
    <col min="4" max="4" width="14.83203125" style="7" customWidth="1"/>
    <col min="5" max="5" width="32.5" style="7" customWidth="1"/>
    <col min="6" max="6" width="16.6640625" style="7" customWidth="1"/>
    <col min="7" max="7" width="23.5" style="7" customWidth="1"/>
    <col min="8" max="8" width="4.6640625" style="7" customWidth="1"/>
    <col min="9" max="11" width="13.33203125" style="7" customWidth="1"/>
    <col min="12" max="12" width="12.5" style="7" customWidth="1"/>
    <col min="13" max="16384" width="13.33203125" style="7"/>
  </cols>
  <sheetData>
    <row r="1" spans="2:10">
      <c r="B1" s="8"/>
      <c r="C1" s="8"/>
      <c r="D1" s="8"/>
      <c r="E1" s="8"/>
      <c r="F1" s="8"/>
      <c r="G1" s="8"/>
      <c r="H1" s="8"/>
      <c r="I1" s="529" t="s">
        <v>83</v>
      </c>
      <c r="J1" s="529"/>
    </row>
    <row r="2" spans="2:10" ht="17.25" customHeight="1">
      <c r="B2" s="8"/>
      <c r="C2" s="8"/>
      <c r="D2" s="8"/>
      <c r="E2" s="8"/>
      <c r="F2" s="8"/>
      <c r="G2" s="8"/>
      <c r="H2" s="8"/>
      <c r="I2" s="529"/>
      <c r="J2" s="529"/>
    </row>
    <row r="3" spans="2:10" ht="15">
      <c r="B3" s="8"/>
      <c r="C3" s="530" t="s">
        <v>68</v>
      </c>
      <c r="D3" s="530"/>
      <c r="E3" s="530"/>
      <c r="F3" s="530"/>
      <c r="G3" s="530"/>
      <c r="H3" s="8"/>
    </row>
    <row r="4" spans="2:10" ht="15">
      <c r="B4" s="8"/>
      <c r="C4" s="530" t="s">
        <v>69</v>
      </c>
      <c r="D4" s="530"/>
      <c r="E4" s="530"/>
      <c r="F4" s="530"/>
      <c r="G4" s="530"/>
      <c r="H4" s="8"/>
    </row>
    <row r="5" spans="2:10" ht="15">
      <c r="B5" s="8"/>
      <c r="C5" s="8"/>
      <c r="D5" s="8"/>
      <c r="E5" s="8"/>
      <c r="F5" s="9"/>
      <c r="G5" s="8"/>
      <c r="H5" s="8"/>
    </row>
    <row r="6" spans="2:10" ht="37.5" customHeight="1">
      <c r="B6" s="8"/>
      <c r="C6" s="534" t="s">
        <v>175</v>
      </c>
      <c r="D6" s="534"/>
      <c r="E6" s="534"/>
      <c r="F6" s="534"/>
      <c r="G6" s="534"/>
      <c r="H6" s="10"/>
    </row>
    <row r="7" spans="2:10">
      <c r="B7" s="8"/>
      <c r="C7" s="8"/>
      <c r="D7" s="8"/>
      <c r="E7" s="8"/>
      <c r="F7" s="8"/>
      <c r="G7" s="8"/>
      <c r="H7" s="8"/>
    </row>
    <row r="8" spans="2:10">
      <c r="B8" s="8"/>
      <c r="C8" s="11" t="s">
        <v>70</v>
      </c>
      <c r="D8" s="18">
        <f>COMISIONES!V8</f>
        <v>0</v>
      </c>
      <c r="E8" s="8"/>
      <c r="F8" s="160" t="s">
        <v>294</v>
      </c>
      <c r="G8" s="19">
        <f>COMISIONES!N14</f>
        <v>0</v>
      </c>
      <c r="H8" s="8"/>
    </row>
    <row r="9" spans="2:10" ht="13.5" thickBot="1">
      <c r="B9" s="8"/>
      <c r="C9" s="8"/>
      <c r="D9" s="8"/>
      <c r="E9" s="8" t="s">
        <v>71</v>
      </c>
      <c r="F9" s="8"/>
      <c r="G9" s="8"/>
      <c r="H9" s="8"/>
    </row>
    <row r="10" spans="2:10">
      <c r="B10" s="8"/>
      <c r="C10" s="531" t="s">
        <v>72</v>
      </c>
      <c r="D10" s="532"/>
      <c r="E10" s="532"/>
      <c r="F10" s="532"/>
      <c r="G10" s="533"/>
      <c r="H10" s="8"/>
      <c r="I10" s="12"/>
    </row>
    <row r="11" spans="2:10">
      <c r="B11" s="8"/>
      <c r="C11" s="535" t="s">
        <v>81</v>
      </c>
      <c r="D11" s="536"/>
      <c r="E11" s="536"/>
      <c r="F11" s="536"/>
      <c r="G11" s="537"/>
      <c r="H11" s="8"/>
      <c r="I11" s="12"/>
    </row>
    <row r="12" spans="2:10">
      <c r="B12" s="8"/>
      <c r="C12" s="154" t="s">
        <v>297</v>
      </c>
      <c r="D12" s="249" t="s">
        <v>298</v>
      </c>
      <c r="E12" s="162" t="s">
        <v>299</v>
      </c>
      <c r="F12" s="13" t="s">
        <v>770</v>
      </c>
      <c r="G12" s="13" t="s">
        <v>74</v>
      </c>
      <c r="H12" s="8"/>
    </row>
    <row r="13" spans="2:10">
      <c r="B13" s="8"/>
      <c r="C13" s="155"/>
      <c r="D13" s="156"/>
      <c r="E13" s="163"/>
      <c r="F13" s="245">
        <v>0</v>
      </c>
      <c r="G13" s="31">
        <f t="shared" ref="G13:G39" si="0">+F13</f>
        <v>0</v>
      </c>
      <c r="H13" s="8"/>
    </row>
    <row r="14" spans="2:10">
      <c r="B14" s="8"/>
      <c r="C14" s="155"/>
      <c r="D14" s="156"/>
      <c r="E14" s="163"/>
      <c r="F14" s="245">
        <f>+COMISIONES!$M$25*'RELACION FACTURAS'!E14</f>
        <v>0</v>
      </c>
      <c r="G14" s="31">
        <f t="shared" si="0"/>
        <v>0</v>
      </c>
      <c r="H14" s="8"/>
    </row>
    <row r="15" spans="2:10">
      <c r="B15" s="8"/>
      <c r="C15" s="155"/>
      <c r="D15" s="156"/>
      <c r="E15" s="163"/>
      <c r="F15" s="245">
        <f>+COMISIONES!$M$25*'RELACION FACTURAS'!E15</f>
        <v>0</v>
      </c>
      <c r="G15" s="31">
        <f t="shared" si="0"/>
        <v>0</v>
      </c>
      <c r="H15" s="8"/>
    </row>
    <row r="16" spans="2:10">
      <c r="B16" s="8"/>
      <c r="C16" s="155"/>
      <c r="D16" s="156"/>
      <c r="E16" s="163"/>
      <c r="F16" s="245">
        <f>+COMISIONES!$M$25*'RELACION FACTURAS'!E16</f>
        <v>0</v>
      </c>
      <c r="G16" s="31">
        <f t="shared" si="0"/>
        <v>0</v>
      </c>
      <c r="H16" s="8"/>
    </row>
    <row r="17" spans="2:8">
      <c r="B17" s="8"/>
      <c r="C17" s="155"/>
      <c r="D17" s="153"/>
      <c r="E17" s="163"/>
      <c r="F17" s="245">
        <f>+COMISIONES!$M$25*'RELACION FACTURAS'!E17</f>
        <v>0</v>
      </c>
      <c r="G17" s="31">
        <f t="shared" si="0"/>
        <v>0</v>
      </c>
      <c r="H17" s="8"/>
    </row>
    <row r="18" spans="2:8">
      <c r="B18" s="8"/>
      <c r="C18" s="155"/>
      <c r="D18" s="153"/>
      <c r="E18" s="163"/>
      <c r="F18" s="245">
        <f>+COMISIONES!$M$25*'RELACION FACTURAS'!E18</f>
        <v>0</v>
      </c>
      <c r="G18" s="31">
        <f>+F18</f>
        <v>0</v>
      </c>
      <c r="H18" s="8"/>
    </row>
    <row r="19" spans="2:8">
      <c r="B19" s="8"/>
      <c r="C19" s="155"/>
      <c r="D19" s="153"/>
      <c r="E19" s="163"/>
      <c r="F19" s="245">
        <f>+COMISIONES!$M$25*'RELACION FACTURAS'!E19</f>
        <v>0</v>
      </c>
      <c r="G19" s="31">
        <f t="shared" ref="G19:G29" si="1">+F19</f>
        <v>0</v>
      </c>
      <c r="H19" s="8"/>
    </row>
    <row r="20" spans="2:8">
      <c r="B20" s="8"/>
      <c r="C20" s="155"/>
      <c r="D20" s="153"/>
      <c r="E20" s="163"/>
      <c r="F20" s="245">
        <f>+COMISIONES!$M$25*'RELACION FACTURAS'!E20</f>
        <v>0</v>
      </c>
      <c r="G20" s="31">
        <f t="shared" si="1"/>
        <v>0</v>
      </c>
      <c r="H20" s="8"/>
    </row>
    <row r="21" spans="2:8">
      <c r="B21" s="8"/>
      <c r="C21" s="155"/>
      <c r="D21" s="153"/>
      <c r="E21" s="163"/>
      <c r="F21" s="245">
        <f>+COMISIONES!$M$25*'RELACION FACTURAS'!E21</f>
        <v>0</v>
      </c>
      <c r="G21" s="31">
        <f t="shared" si="1"/>
        <v>0</v>
      </c>
      <c r="H21" s="8"/>
    </row>
    <row r="22" spans="2:8">
      <c r="B22" s="8"/>
      <c r="C22" s="155"/>
      <c r="D22" s="153"/>
      <c r="E22" s="163"/>
      <c r="F22" s="245">
        <f>+COMISIONES!$M$25*'RELACION FACTURAS'!E22</f>
        <v>0</v>
      </c>
      <c r="G22" s="31">
        <f t="shared" si="1"/>
        <v>0</v>
      </c>
      <c r="H22" s="8"/>
    </row>
    <row r="23" spans="2:8">
      <c r="B23" s="8"/>
      <c r="C23" s="155"/>
      <c r="D23" s="153"/>
      <c r="E23" s="163"/>
      <c r="F23" s="245">
        <f>+COMISIONES!$M$25*'RELACION FACTURAS'!E23</f>
        <v>0</v>
      </c>
      <c r="G23" s="31">
        <f t="shared" si="1"/>
        <v>0</v>
      </c>
      <c r="H23" s="8"/>
    </row>
    <row r="24" spans="2:8">
      <c r="B24" s="8"/>
      <c r="C24" s="155"/>
      <c r="D24" s="153"/>
      <c r="E24" s="163"/>
      <c r="F24" s="245">
        <f>+COMISIONES!$M$25*'RELACION FACTURAS'!E24</f>
        <v>0</v>
      </c>
      <c r="G24" s="31">
        <f t="shared" si="1"/>
        <v>0</v>
      </c>
      <c r="H24" s="8"/>
    </row>
    <row r="25" spans="2:8">
      <c r="B25" s="8"/>
      <c r="C25" s="155"/>
      <c r="D25" s="153"/>
      <c r="E25" s="163"/>
      <c r="F25" s="245">
        <f>+COMISIONES!$M$25*'RELACION FACTURAS'!E25</f>
        <v>0</v>
      </c>
      <c r="G25" s="31">
        <f t="shared" si="1"/>
        <v>0</v>
      </c>
      <c r="H25" s="8"/>
    </row>
    <row r="26" spans="2:8">
      <c r="B26" s="8"/>
      <c r="C26" s="155"/>
      <c r="D26" s="153"/>
      <c r="E26" s="163"/>
      <c r="F26" s="245">
        <f>+COMISIONES!$M$25*'RELACION FACTURAS'!E26</f>
        <v>0</v>
      </c>
      <c r="G26" s="31">
        <f t="shared" si="1"/>
        <v>0</v>
      </c>
      <c r="H26" s="8"/>
    </row>
    <row r="27" spans="2:8">
      <c r="B27" s="8"/>
      <c r="C27" s="155"/>
      <c r="D27" s="153"/>
      <c r="E27" s="163"/>
      <c r="F27" s="245">
        <f>+COMISIONES!$M$25*'RELACION FACTURAS'!E27</f>
        <v>0</v>
      </c>
      <c r="G27" s="31">
        <f t="shared" si="1"/>
        <v>0</v>
      </c>
      <c r="H27" s="8"/>
    </row>
    <row r="28" spans="2:8">
      <c r="B28" s="8"/>
      <c r="C28" s="155"/>
      <c r="D28" s="153"/>
      <c r="E28" s="163"/>
      <c r="F28" s="245">
        <f>+COMISIONES!$M$25*'RELACION FACTURAS'!E28</f>
        <v>0</v>
      </c>
      <c r="G28" s="31">
        <f t="shared" si="1"/>
        <v>0</v>
      </c>
      <c r="H28" s="8"/>
    </row>
    <row r="29" spans="2:8">
      <c r="B29" s="8"/>
      <c r="C29" s="155"/>
      <c r="D29" s="153"/>
      <c r="E29" s="163"/>
      <c r="F29" s="245">
        <f>+COMISIONES!$M$25*'RELACION FACTURAS'!E29</f>
        <v>0</v>
      </c>
      <c r="G29" s="31">
        <f t="shared" si="1"/>
        <v>0</v>
      </c>
      <c r="H29" s="8"/>
    </row>
    <row r="30" spans="2:8">
      <c r="B30" s="8"/>
      <c r="C30" s="155"/>
      <c r="D30" s="153"/>
      <c r="E30" s="163"/>
      <c r="F30" s="245">
        <f>+COMISIONES!$M$25*'RELACION FACTURAS'!E30</f>
        <v>0</v>
      </c>
      <c r="G30" s="31">
        <f t="shared" si="0"/>
        <v>0</v>
      </c>
      <c r="H30" s="8"/>
    </row>
    <row r="31" spans="2:8">
      <c r="B31" s="8"/>
      <c r="C31" s="155"/>
      <c r="D31" s="153"/>
      <c r="E31" s="163"/>
      <c r="F31" s="245">
        <f>+COMISIONES!$M$25*'RELACION FACTURAS'!E31</f>
        <v>0</v>
      </c>
      <c r="G31" s="31">
        <f t="shared" si="0"/>
        <v>0</v>
      </c>
      <c r="H31" s="8"/>
    </row>
    <row r="32" spans="2:8">
      <c r="B32" s="8"/>
      <c r="C32" s="155"/>
      <c r="D32" s="153"/>
      <c r="E32" s="163"/>
      <c r="F32" s="245">
        <f>+COMISIONES!$M$25*'RELACION FACTURAS'!E32</f>
        <v>0</v>
      </c>
      <c r="G32" s="31">
        <f t="shared" si="0"/>
        <v>0</v>
      </c>
      <c r="H32" s="8"/>
    </row>
    <row r="33" spans="2:9">
      <c r="B33" s="8"/>
      <c r="C33" s="155"/>
      <c r="D33" s="153"/>
      <c r="E33" s="163"/>
      <c r="F33" s="245">
        <f>+COMISIONES!$M$25*'RELACION FACTURAS'!E33</f>
        <v>0</v>
      </c>
      <c r="G33" s="31">
        <f t="shared" si="0"/>
        <v>0</v>
      </c>
      <c r="H33" s="8"/>
    </row>
    <row r="34" spans="2:9">
      <c r="B34" s="8"/>
      <c r="C34" s="155"/>
      <c r="D34" s="153"/>
      <c r="E34" s="163"/>
      <c r="F34" s="245">
        <f>+COMISIONES!$M$25*'RELACION FACTURAS'!E34</f>
        <v>0</v>
      </c>
      <c r="G34" s="31">
        <f t="shared" si="0"/>
        <v>0</v>
      </c>
      <c r="H34" s="8"/>
    </row>
    <row r="35" spans="2:9">
      <c r="B35" s="8"/>
      <c r="C35" s="155"/>
      <c r="D35" s="153"/>
      <c r="E35" s="163"/>
      <c r="F35" s="245">
        <f>+COMISIONES!$M$25*'RELACION FACTURAS'!E35</f>
        <v>0</v>
      </c>
      <c r="G35" s="31">
        <f t="shared" si="0"/>
        <v>0</v>
      </c>
      <c r="H35" s="8"/>
    </row>
    <row r="36" spans="2:9">
      <c r="B36" s="8"/>
      <c r="C36" s="155"/>
      <c r="D36" s="153"/>
      <c r="E36" s="163"/>
      <c r="F36" s="245">
        <f>+COMISIONES!$M$25*'RELACION FACTURAS'!E36</f>
        <v>0</v>
      </c>
      <c r="G36" s="31">
        <f t="shared" si="0"/>
        <v>0</v>
      </c>
      <c r="H36" s="8"/>
    </row>
    <row r="37" spans="2:9">
      <c r="B37" s="8"/>
      <c r="C37" s="155"/>
      <c r="D37" s="153"/>
      <c r="E37" s="163"/>
      <c r="F37" s="245">
        <f>+COMISIONES!$M$25*'RELACION FACTURAS'!E37</f>
        <v>0</v>
      </c>
      <c r="G37" s="31">
        <f t="shared" si="0"/>
        <v>0</v>
      </c>
      <c r="H37" s="8"/>
    </row>
    <row r="38" spans="2:9">
      <c r="B38" s="8"/>
      <c r="C38" s="155"/>
      <c r="D38" s="153"/>
      <c r="E38" s="163"/>
      <c r="F38" s="245">
        <f>+COMISIONES!$M$25*'RELACION FACTURAS'!E38</f>
        <v>0</v>
      </c>
      <c r="G38" s="31">
        <f t="shared" si="0"/>
        <v>0</v>
      </c>
      <c r="H38" s="8"/>
    </row>
    <row r="39" spans="2:9" ht="13.5" thickBot="1">
      <c r="B39" s="8"/>
      <c r="C39" s="155"/>
      <c r="D39" s="153"/>
      <c r="E39" s="163"/>
      <c r="F39" s="245">
        <f>+COMISIONES!$M$25*'RELACION FACTURAS'!E39</f>
        <v>0</v>
      </c>
      <c r="G39" s="31">
        <f t="shared" si="0"/>
        <v>0</v>
      </c>
      <c r="H39" s="8"/>
    </row>
    <row r="40" spans="2:9" ht="14.25" thickTop="1" thickBot="1">
      <c r="B40" s="8"/>
      <c r="C40" s="538" t="s">
        <v>75</v>
      </c>
      <c r="D40" s="539"/>
      <c r="E40" s="185">
        <f>SUM(E13:E39)</f>
        <v>0</v>
      </c>
      <c r="F40" s="185">
        <f>SUM(F13:F39)</f>
        <v>0</v>
      </c>
      <c r="G40" s="185">
        <f>SUM(G13:G39)</f>
        <v>0</v>
      </c>
      <c r="H40" s="8"/>
    </row>
    <row r="41" spans="2:9" ht="13.5" thickBot="1">
      <c r="B41" s="8"/>
      <c r="C41" s="8"/>
      <c r="D41" s="8"/>
      <c r="E41" s="8"/>
      <c r="F41" s="8"/>
      <c r="G41" s="8"/>
      <c r="H41" s="8"/>
    </row>
    <row r="42" spans="2:9">
      <c r="B42" s="8"/>
      <c r="C42" s="540" t="s">
        <v>76</v>
      </c>
      <c r="D42" s="541"/>
      <c r="E42" s="542"/>
      <c r="F42" s="542"/>
      <c r="G42" s="543"/>
      <c r="H42" s="8"/>
      <c r="I42" s="12"/>
    </row>
    <row r="43" spans="2:9">
      <c r="B43" s="8"/>
      <c r="C43" s="544" t="s">
        <v>82</v>
      </c>
      <c r="D43" s="545"/>
      <c r="E43" s="546"/>
      <c r="F43" s="546"/>
      <c r="G43" s="547"/>
      <c r="H43" s="8"/>
      <c r="I43" s="12"/>
    </row>
    <row r="44" spans="2:9">
      <c r="B44" s="8"/>
      <c r="C44" s="549" t="s">
        <v>782</v>
      </c>
      <c r="D44" s="550"/>
      <c r="E44" s="548" t="s">
        <v>73</v>
      </c>
      <c r="F44" s="548"/>
      <c r="G44" s="13" t="s">
        <v>74</v>
      </c>
      <c r="H44" s="8"/>
    </row>
    <row r="45" spans="2:9">
      <c r="B45" s="8"/>
      <c r="C45" s="527"/>
      <c r="D45" s="528"/>
      <c r="E45" s="518"/>
      <c r="F45" s="519"/>
      <c r="G45" s="31">
        <v>0</v>
      </c>
      <c r="H45" s="8"/>
    </row>
    <row r="46" spans="2:9">
      <c r="B46" s="8"/>
      <c r="C46" s="527"/>
      <c r="D46" s="528"/>
      <c r="E46" s="518"/>
      <c r="F46" s="519"/>
      <c r="G46" s="31">
        <v>0</v>
      </c>
      <c r="H46" s="8"/>
    </row>
    <row r="47" spans="2:9">
      <c r="B47" s="8"/>
      <c r="C47" s="527"/>
      <c r="D47" s="528"/>
      <c r="E47" s="518"/>
      <c r="F47" s="519"/>
      <c r="G47" s="31">
        <v>0</v>
      </c>
      <c r="H47" s="8"/>
    </row>
    <row r="48" spans="2:9">
      <c r="B48" s="8"/>
      <c r="C48" s="195"/>
      <c r="D48" s="196"/>
      <c r="E48" s="197"/>
      <c r="F48" s="198"/>
      <c r="G48" s="31">
        <v>0</v>
      </c>
      <c r="H48" s="8"/>
    </row>
    <row r="49" spans="2:8">
      <c r="B49" s="8"/>
      <c r="C49" s="195"/>
      <c r="D49" s="196"/>
      <c r="E49" s="197"/>
      <c r="F49" s="198"/>
      <c r="G49" s="31">
        <v>0</v>
      </c>
      <c r="H49" s="8"/>
    </row>
    <row r="50" spans="2:8">
      <c r="B50" s="8"/>
      <c r="C50" s="195"/>
      <c r="D50" s="196"/>
      <c r="E50" s="197"/>
      <c r="F50" s="198"/>
      <c r="G50" s="31">
        <v>0</v>
      </c>
      <c r="H50" s="8"/>
    </row>
    <row r="51" spans="2:8">
      <c r="B51" s="8"/>
      <c r="C51" s="527"/>
      <c r="D51" s="528"/>
      <c r="E51" s="518"/>
      <c r="F51" s="519"/>
      <c r="G51" s="31">
        <v>0</v>
      </c>
      <c r="H51" s="8"/>
    </row>
    <row r="52" spans="2:8">
      <c r="B52" s="8"/>
      <c r="C52" s="527"/>
      <c r="D52" s="528"/>
      <c r="E52" s="518"/>
      <c r="F52" s="519"/>
      <c r="G52" s="31">
        <v>0</v>
      </c>
      <c r="H52" s="8"/>
    </row>
    <row r="53" spans="2:8">
      <c r="B53" s="8"/>
      <c r="C53" s="527"/>
      <c r="D53" s="528"/>
      <c r="E53" s="518"/>
      <c r="F53" s="519"/>
      <c r="G53" s="31">
        <v>0</v>
      </c>
      <c r="H53" s="8"/>
    </row>
    <row r="54" spans="2:8">
      <c r="B54" s="8"/>
      <c r="C54" s="527"/>
      <c r="D54" s="528"/>
      <c r="E54" s="513"/>
      <c r="F54" s="514"/>
      <c r="G54" s="31">
        <v>0</v>
      </c>
      <c r="H54" s="8"/>
    </row>
    <row r="55" spans="2:8">
      <c r="B55" s="8"/>
      <c r="C55" s="527"/>
      <c r="D55" s="528"/>
      <c r="E55" s="513"/>
      <c r="F55" s="514"/>
      <c r="G55" s="31">
        <v>0</v>
      </c>
      <c r="H55" s="8"/>
    </row>
    <row r="56" spans="2:8">
      <c r="B56" s="8"/>
      <c r="C56" s="527"/>
      <c r="D56" s="528"/>
      <c r="E56" s="513"/>
      <c r="F56" s="514"/>
      <c r="G56" s="31">
        <v>0</v>
      </c>
      <c r="H56" s="8"/>
    </row>
    <row r="57" spans="2:8" ht="13.5" thickBot="1">
      <c r="B57" s="8"/>
      <c r="C57" s="527"/>
      <c r="D57" s="528"/>
      <c r="E57" s="520"/>
      <c r="F57" s="521"/>
      <c r="G57" s="31">
        <v>0</v>
      </c>
      <c r="H57" s="8"/>
    </row>
    <row r="58" spans="2:8" ht="14.25" thickTop="1" thickBot="1">
      <c r="B58" s="8"/>
      <c r="C58" s="522" t="s">
        <v>77</v>
      </c>
      <c r="D58" s="523"/>
      <c r="E58" s="524"/>
      <c r="F58" s="525"/>
      <c r="G58" s="185">
        <f>SUM(G45:G57)</f>
        <v>0</v>
      </c>
      <c r="H58" s="8"/>
    </row>
    <row r="59" spans="2:8" ht="13.5" thickBot="1">
      <c r="B59" s="8"/>
      <c r="C59" s="8"/>
      <c r="D59" s="8"/>
      <c r="E59" s="8"/>
      <c r="F59" s="8"/>
      <c r="G59" s="8"/>
      <c r="H59" s="8"/>
    </row>
    <row r="60" spans="2:8" ht="15.75" thickBot="1">
      <c r="B60" s="8"/>
      <c r="C60" s="515" t="s">
        <v>78</v>
      </c>
      <c r="D60" s="516"/>
      <c r="E60" s="516"/>
      <c r="F60" s="517"/>
      <c r="G60" s="32">
        <f>G58+G40</f>
        <v>0</v>
      </c>
      <c r="H60" s="8"/>
    </row>
    <row r="61" spans="2:8" ht="14.25" customHeight="1">
      <c r="B61" s="8"/>
      <c r="C61" s="8"/>
      <c r="D61" s="8"/>
      <c r="E61" s="8"/>
      <c r="F61" s="8"/>
      <c r="G61" s="8"/>
      <c r="H61" s="8"/>
    </row>
    <row r="62" spans="2:8" ht="16.5" customHeight="1">
      <c r="B62" s="8"/>
      <c r="C62" s="14" t="s">
        <v>193</v>
      </c>
      <c r="D62" s="15"/>
      <c r="E62" s="161" t="str">
        <f>"C.C."&amp;" "&amp;+COMISIONES!N14</f>
        <v xml:space="preserve">C.C. </v>
      </c>
      <c r="F62" s="8"/>
      <c r="G62" s="8"/>
      <c r="H62" s="8"/>
    </row>
    <row r="63" spans="2:8" ht="18" customHeight="1">
      <c r="B63" s="8"/>
      <c r="C63" s="14" t="s">
        <v>79</v>
      </c>
      <c r="D63" s="526">
        <f>COMISIONES!C14</f>
        <v>0</v>
      </c>
      <c r="E63" s="526"/>
      <c r="F63" s="526"/>
      <c r="G63" s="8"/>
      <c r="H63" s="8"/>
    </row>
    <row r="64" spans="2:8" ht="21.75" customHeight="1">
      <c r="B64" s="8"/>
      <c r="C64" s="161" t="s">
        <v>295</v>
      </c>
      <c r="D64" s="16">
        <f>COMISIONES!N14</f>
        <v>0</v>
      </c>
      <c r="E64" s="17"/>
      <c r="F64" s="17"/>
      <c r="G64" s="8"/>
      <c r="H64" s="8"/>
    </row>
    <row r="65" spans="2:8">
      <c r="B65" s="8"/>
      <c r="C65" s="8"/>
      <c r="D65" s="8"/>
      <c r="E65" s="8"/>
      <c r="F65" s="8"/>
      <c r="G65" s="8"/>
      <c r="H65" s="8"/>
    </row>
    <row r="66" spans="2:8" ht="36.75" customHeight="1">
      <c r="B66" s="8"/>
      <c r="C66" s="512" t="s">
        <v>86</v>
      </c>
      <c r="D66" s="512"/>
      <c r="E66" s="512"/>
      <c r="F66" s="512"/>
      <c r="G66" s="512"/>
      <c r="H66" s="8"/>
    </row>
  </sheetData>
  <sheetProtection password="C1E3" sheet="1" objects="1" scenarios="1"/>
  <mergeCells count="35">
    <mergeCell ref="E51:F51"/>
    <mergeCell ref="C46:D46"/>
    <mergeCell ref="C47:D47"/>
    <mergeCell ref="C51:D51"/>
    <mergeCell ref="C52:D52"/>
    <mergeCell ref="E46:F46"/>
    <mergeCell ref="E47:F47"/>
    <mergeCell ref="E52:F52"/>
    <mergeCell ref="C11:G11"/>
    <mergeCell ref="C40:D40"/>
    <mergeCell ref="E45:F45"/>
    <mergeCell ref="C42:G42"/>
    <mergeCell ref="C43:G43"/>
    <mergeCell ref="E44:F44"/>
    <mergeCell ref="C44:D44"/>
    <mergeCell ref="C45:D45"/>
    <mergeCell ref="I1:J2"/>
    <mergeCell ref="C3:G3"/>
    <mergeCell ref="C4:G4"/>
    <mergeCell ref="C10:G10"/>
    <mergeCell ref="C6:G6"/>
    <mergeCell ref="C66:G66"/>
    <mergeCell ref="E54:F54"/>
    <mergeCell ref="E55:F55"/>
    <mergeCell ref="C60:F60"/>
    <mergeCell ref="E53:F53"/>
    <mergeCell ref="E57:F57"/>
    <mergeCell ref="C58:F58"/>
    <mergeCell ref="E56:F56"/>
    <mergeCell ref="D63:F63"/>
    <mergeCell ref="C55:D55"/>
    <mergeCell ref="C56:D56"/>
    <mergeCell ref="C57:D57"/>
    <mergeCell ref="C54:D54"/>
    <mergeCell ref="C53:D53"/>
  </mergeCells>
  <phoneticPr fontId="24" type="noConversion"/>
  <hyperlinks>
    <hyperlink ref="I1:J2" location="COMISIONES!A1" display="REGRESAR AL FORMATO DE LEGALIZACION" xr:uid="{00000000-0004-0000-0200-000000000000}"/>
  </hyperlinks>
  <printOptions horizontalCentered="1"/>
  <pageMargins left="0.75" right="0.75" top="0.21" bottom="0.39370078740157483" header="0.23" footer="0.21"/>
  <pageSetup paperSize="9" scale="73" orientation="portrait" r:id="rId1"/>
  <headerFooter alignWithMargins="0">
    <oddFooter>&amp;RGH-FOR-12-2006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75"/>
  <sheetViews>
    <sheetView topLeftCell="A241" workbookViewId="0">
      <selection activeCell="A263" sqref="A1:XFD1048576"/>
    </sheetView>
  </sheetViews>
  <sheetFormatPr baseColWidth="10" defaultRowHeight="12.75"/>
  <cols>
    <col min="1" max="1" width="72.6640625" bestFit="1" customWidth="1"/>
    <col min="3" max="3" width="3.1640625" bestFit="1" customWidth="1"/>
    <col min="4" max="4" width="3" bestFit="1" customWidth="1"/>
    <col min="5" max="6" width="72.33203125" bestFit="1" customWidth="1"/>
    <col min="7" max="26" width="72.6640625" bestFit="1" customWidth="1"/>
    <col min="27" max="27" width="72.6640625" customWidth="1"/>
    <col min="28" max="28" width="72.6640625" bestFit="1" customWidth="1"/>
    <col min="29" max="29" width="77.5" bestFit="1" customWidth="1"/>
  </cols>
  <sheetData>
    <row r="1" spans="1:29" s="182" customFormat="1" ht="15">
      <c r="A1" s="190" t="s">
        <v>697</v>
      </c>
      <c r="B1" s="182" t="s">
        <v>109</v>
      </c>
      <c r="C1" s="182" t="s">
        <v>759</v>
      </c>
      <c r="D1" s="182" t="s">
        <v>760</v>
      </c>
      <c r="E1" s="171" t="s">
        <v>304</v>
      </c>
      <c r="F1" s="171" t="s">
        <v>400</v>
      </c>
      <c r="G1" s="182" t="s">
        <v>709</v>
      </c>
      <c r="H1" s="182" t="s">
        <v>729</v>
      </c>
      <c r="I1" s="182" t="s">
        <v>710</v>
      </c>
      <c r="J1" s="182" t="s">
        <v>711</v>
      </c>
      <c r="K1" s="182" t="s">
        <v>712</v>
      </c>
      <c r="L1" s="182" t="s">
        <v>713</v>
      </c>
      <c r="M1" s="182" t="s">
        <v>714</v>
      </c>
      <c r="N1" s="182" t="s">
        <v>715</v>
      </c>
      <c r="O1" s="182" t="s">
        <v>716</v>
      </c>
      <c r="P1" s="182" t="s">
        <v>717</v>
      </c>
      <c r="Q1" s="182" t="s">
        <v>718</v>
      </c>
      <c r="R1" s="182" t="s">
        <v>719</v>
      </c>
      <c r="S1" s="182" t="s">
        <v>720</v>
      </c>
      <c r="T1" s="182" t="s">
        <v>721</v>
      </c>
      <c r="U1" s="182" t="s">
        <v>722</v>
      </c>
      <c r="V1" s="182" t="s">
        <v>723</v>
      </c>
      <c r="W1" s="182" t="s">
        <v>724</v>
      </c>
      <c r="X1" s="182" t="s">
        <v>725</v>
      </c>
      <c r="Y1" s="182" t="s">
        <v>726</v>
      </c>
      <c r="Z1" s="182" t="s">
        <v>727</v>
      </c>
      <c r="AA1" s="182" t="s">
        <v>791</v>
      </c>
      <c r="AB1" s="182" t="s">
        <v>831</v>
      </c>
      <c r="AC1" s="182" t="s">
        <v>728</v>
      </c>
    </row>
    <row r="2" spans="1:29">
      <c r="A2" t="s">
        <v>423</v>
      </c>
      <c r="B2" s="181" t="s">
        <v>111</v>
      </c>
      <c r="C2" s="59" t="s">
        <v>63</v>
      </c>
      <c r="D2" s="59" t="s">
        <v>292</v>
      </c>
      <c r="E2" t="s">
        <v>323</v>
      </c>
      <c r="F2" t="s">
        <v>401</v>
      </c>
      <c r="G2" t="s">
        <v>323</v>
      </c>
      <c r="H2" t="s">
        <v>314</v>
      </c>
      <c r="I2" t="s">
        <v>306</v>
      </c>
      <c r="J2" t="s">
        <v>322</v>
      </c>
      <c r="K2" t="s">
        <v>311</v>
      </c>
      <c r="L2" t="s">
        <v>310</v>
      </c>
      <c r="M2" t="s">
        <v>307</v>
      </c>
      <c r="N2" t="s">
        <v>310</v>
      </c>
      <c r="O2" t="s">
        <v>310</v>
      </c>
      <c r="P2" t="s">
        <v>319</v>
      </c>
      <c r="Q2" t="s">
        <v>314</v>
      </c>
      <c r="R2" t="s">
        <v>310</v>
      </c>
      <c r="S2" t="s">
        <v>310</v>
      </c>
      <c r="T2" t="s">
        <v>310</v>
      </c>
      <c r="U2" t="s">
        <v>322</v>
      </c>
      <c r="V2" t="s">
        <v>307</v>
      </c>
      <c r="W2" t="s">
        <v>310</v>
      </c>
      <c r="X2" t="s">
        <v>321</v>
      </c>
      <c r="Y2" t="s">
        <v>307</v>
      </c>
      <c r="Z2" t="s">
        <v>321</v>
      </c>
      <c r="AA2" s="212" t="s">
        <v>399</v>
      </c>
      <c r="AB2" t="s">
        <v>338</v>
      </c>
      <c r="AC2" t="s">
        <v>709</v>
      </c>
    </row>
    <row r="3" spans="1:29">
      <c r="A3" t="s">
        <v>424</v>
      </c>
      <c r="B3" s="181" t="s">
        <v>111</v>
      </c>
      <c r="C3" s="59" t="s">
        <v>63</v>
      </c>
      <c r="D3" s="59" t="s">
        <v>292</v>
      </c>
      <c r="E3" t="s">
        <v>345</v>
      </c>
      <c r="F3" t="s">
        <v>401</v>
      </c>
      <c r="G3" t="s">
        <v>345</v>
      </c>
      <c r="H3" t="s">
        <v>323</v>
      </c>
      <c r="I3" t="s">
        <v>310</v>
      </c>
      <c r="J3" t="s">
        <v>337</v>
      </c>
      <c r="K3" t="s">
        <v>314</v>
      </c>
      <c r="L3" t="s">
        <v>319</v>
      </c>
      <c r="M3" t="s">
        <v>322</v>
      </c>
      <c r="N3" t="s">
        <v>322</v>
      </c>
      <c r="O3" t="s">
        <v>319</v>
      </c>
      <c r="P3" t="s">
        <v>322</v>
      </c>
      <c r="Q3" t="s">
        <v>319</v>
      </c>
      <c r="R3" t="s">
        <v>319</v>
      </c>
      <c r="S3" t="s">
        <v>319</v>
      </c>
      <c r="T3" t="s">
        <v>319</v>
      </c>
      <c r="U3" t="s">
        <v>323</v>
      </c>
      <c r="V3" t="s">
        <v>310</v>
      </c>
      <c r="W3" t="s">
        <v>319</v>
      </c>
      <c r="X3" t="s">
        <v>336</v>
      </c>
      <c r="Y3" t="s">
        <v>321</v>
      </c>
      <c r="Z3" t="s">
        <v>323</v>
      </c>
      <c r="AA3" s="212" t="s">
        <v>795</v>
      </c>
      <c r="AB3" t="s">
        <v>339</v>
      </c>
      <c r="AC3" s="181" t="s">
        <v>729</v>
      </c>
    </row>
    <row r="4" spans="1:29">
      <c r="A4" t="s">
        <v>425</v>
      </c>
      <c r="B4" s="181" t="s">
        <v>111</v>
      </c>
      <c r="C4" s="59" t="s">
        <v>63</v>
      </c>
      <c r="D4" s="59" t="s">
        <v>292</v>
      </c>
      <c r="E4" t="s">
        <v>348</v>
      </c>
      <c r="F4" t="s">
        <v>401</v>
      </c>
      <c r="G4" t="s">
        <v>348</v>
      </c>
      <c r="H4" t="s">
        <v>325</v>
      </c>
      <c r="I4" t="s">
        <v>315</v>
      </c>
      <c r="J4" t="s">
        <v>346</v>
      </c>
      <c r="K4" t="s">
        <v>319</v>
      </c>
      <c r="L4" t="s">
        <v>322</v>
      </c>
      <c r="M4" t="s">
        <v>323</v>
      </c>
      <c r="N4" t="s">
        <v>323</v>
      </c>
      <c r="O4" t="s">
        <v>322</v>
      </c>
      <c r="P4" t="s">
        <v>337</v>
      </c>
      <c r="Q4" t="s">
        <v>322</v>
      </c>
      <c r="R4" t="s">
        <v>322</v>
      </c>
      <c r="S4" t="s">
        <v>322</v>
      </c>
      <c r="T4" t="s">
        <v>322</v>
      </c>
      <c r="U4" t="s">
        <v>337</v>
      </c>
      <c r="V4" t="s">
        <v>318</v>
      </c>
      <c r="W4" t="s">
        <v>322</v>
      </c>
      <c r="X4" t="s">
        <v>365</v>
      </c>
      <c r="Y4" t="s">
        <v>336</v>
      </c>
      <c r="Z4" t="s">
        <v>365</v>
      </c>
      <c r="AA4" s="212" t="s">
        <v>796</v>
      </c>
      <c r="AB4" t="s">
        <v>340</v>
      </c>
      <c r="AC4" t="s">
        <v>710</v>
      </c>
    </row>
    <row r="5" spans="1:29">
      <c r="A5" t="s">
        <v>426</v>
      </c>
      <c r="B5" s="181" t="s">
        <v>111</v>
      </c>
      <c r="C5" s="59" t="s">
        <v>63</v>
      </c>
      <c r="D5" s="59" t="s">
        <v>292</v>
      </c>
      <c r="E5" t="s">
        <v>349</v>
      </c>
      <c r="F5" t="s">
        <v>401</v>
      </c>
      <c r="G5" t="s">
        <v>349</v>
      </c>
      <c r="H5" t="s">
        <v>326</v>
      </c>
      <c r="I5" t="s">
        <v>316</v>
      </c>
      <c r="J5" t="s">
        <v>360</v>
      </c>
      <c r="K5" t="s">
        <v>322</v>
      </c>
      <c r="L5" t="s">
        <v>323</v>
      </c>
      <c r="M5" t="s">
        <v>326</v>
      </c>
      <c r="N5" t="s">
        <v>337</v>
      </c>
      <c r="O5" t="s">
        <v>323</v>
      </c>
      <c r="P5" t="s">
        <v>360</v>
      </c>
      <c r="Q5" t="s">
        <v>323</v>
      </c>
      <c r="R5" t="s">
        <v>323</v>
      </c>
      <c r="S5" t="s">
        <v>323</v>
      </c>
      <c r="T5" t="s">
        <v>323</v>
      </c>
      <c r="U5" t="s">
        <v>346</v>
      </c>
      <c r="V5" t="s">
        <v>319</v>
      </c>
      <c r="W5" t="s">
        <v>323</v>
      </c>
      <c r="Y5" t="s">
        <v>365</v>
      </c>
      <c r="AA5" s="212" t="s">
        <v>797</v>
      </c>
      <c r="AB5" t="s">
        <v>832</v>
      </c>
      <c r="AC5" t="s">
        <v>711</v>
      </c>
    </row>
    <row r="6" spans="1:29">
      <c r="A6" t="s">
        <v>427</v>
      </c>
      <c r="B6" s="181" t="s">
        <v>112</v>
      </c>
      <c r="C6" s="59" t="s">
        <v>64</v>
      </c>
      <c r="D6" s="59" t="s">
        <v>293</v>
      </c>
      <c r="E6" t="s">
        <v>350</v>
      </c>
      <c r="F6" t="s">
        <v>401</v>
      </c>
      <c r="G6" t="s">
        <v>350</v>
      </c>
      <c r="H6" t="s">
        <v>330</v>
      </c>
      <c r="I6" t="s">
        <v>319</v>
      </c>
      <c r="J6" t="s">
        <v>399</v>
      </c>
      <c r="K6" t="s">
        <v>323</v>
      </c>
      <c r="L6" t="s">
        <v>324</v>
      </c>
      <c r="M6" t="s">
        <v>337</v>
      </c>
      <c r="N6" t="s">
        <v>346</v>
      </c>
      <c r="O6" t="s">
        <v>324</v>
      </c>
      <c r="P6" t="s">
        <v>399</v>
      </c>
      <c r="Q6" t="s">
        <v>337</v>
      </c>
      <c r="R6" t="s">
        <v>337</v>
      </c>
      <c r="S6" t="s">
        <v>326</v>
      </c>
      <c r="T6" t="s">
        <v>337</v>
      </c>
      <c r="U6" t="s">
        <v>360</v>
      </c>
      <c r="V6" t="s">
        <v>322</v>
      </c>
      <c r="W6" t="s">
        <v>324</v>
      </c>
      <c r="AA6" s="212" t="s">
        <v>798</v>
      </c>
      <c r="AB6" t="s">
        <v>399</v>
      </c>
      <c r="AC6" t="s">
        <v>712</v>
      </c>
    </row>
    <row r="7" spans="1:29">
      <c r="A7" t="s">
        <v>428</v>
      </c>
      <c r="B7" s="181" t="s">
        <v>112</v>
      </c>
      <c r="C7" s="59" t="s">
        <v>64</v>
      </c>
      <c r="D7" s="59" t="s">
        <v>293</v>
      </c>
      <c r="E7" t="s">
        <v>357</v>
      </c>
      <c r="F7" t="s">
        <v>401</v>
      </c>
      <c r="G7" t="s">
        <v>357</v>
      </c>
      <c r="H7" t="s">
        <v>343</v>
      </c>
      <c r="I7" t="s">
        <v>320</v>
      </c>
      <c r="K7" t="s">
        <v>324</v>
      </c>
      <c r="L7" t="s">
        <v>325</v>
      </c>
      <c r="M7" t="s">
        <v>360</v>
      </c>
      <c r="N7" t="s">
        <v>360</v>
      </c>
      <c r="O7" t="s">
        <v>326</v>
      </c>
      <c r="Q7" t="s">
        <v>346</v>
      </c>
      <c r="R7" t="s">
        <v>346</v>
      </c>
      <c r="S7" t="s">
        <v>337</v>
      </c>
      <c r="T7" t="s">
        <v>346</v>
      </c>
      <c r="U7" t="s">
        <v>399</v>
      </c>
      <c r="V7" t="s">
        <v>323</v>
      </c>
      <c r="W7" t="s">
        <v>326</v>
      </c>
      <c r="AA7" s="212" t="s">
        <v>799</v>
      </c>
      <c r="AC7" t="s">
        <v>713</v>
      </c>
    </row>
    <row r="8" spans="1:29">
      <c r="A8" t="s">
        <v>429</v>
      </c>
      <c r="B8" s="181" t="s">
        <v>112</v>
      </c>
      <c r="C8" s="59" t="s">
        <v>64</v>
      </c>
      <c r="D8" s="59" t="s">
        <v>293</v>
      </c>
      <c r="E8" t="s">
        <v>362</v>
      </c>
      <c r="F8" t="s">
        <v>401</v>
      </c>
      <c r="G8" t="s">
        <v>362</v>
      </c>
      <c r="H8" t="s">
        <v>346</v>
      </c>
      <c r="I8" t="s">
        <v>322</v>
      </c>
      <c r="K8" t="s">
        <v>326</v>
      </c>
      <c r="L8" t="s">
        <v>326</v>
      </c>
      <c r="M8" t="s">
        <v>399</v>
      </c>
      <c r="N8" t="s">
        <v>399</v>
      </c>
      <c r="O8" t="s">
        <v>337</v>
      </c>
      <c r="Q8" t="s">
        <v>360</v>
      </c>
      <c r="R8" t="s">
        <v>360</v>
      </c>
      <c r="S8" t="s">
        <v>346</v>
      </c>
      <c r="T8" t="s">
        <v>360</v>
      </c>
      <c r="V8" t="s">
        <v>324</v>
      </c>
      <c r="W8" t="s">
        <v>329</v>
      </c>
      <c r="AA8" s="212" t="s">
        <v>800</v>
      </c>
      <c r="AC8" t="s">
        <v>714</v>
      </c>
    </row>
    <row r="9" spans="1:29">
      <c r="A9" t="s">
        <v>430</v>
      </c>
      <c r="B9" s="181" t="s">
        <v>112</v>
      </c>
      <c r="C9" s="59" t="s">
        <v>64</v>
      </c>
      <c r="D9" s="59" t="s">
        <v>293</v>
      </c>
      <c r="E9" t="s">
        <v>364</v>
      </c>
      <c r="F9" t="s">
        <v>401</v>
      </c>
      <c r="G9" t="s">
        <v>364</v>
      </c>
      <c r="H9" t="s">
        <v>355</v>
      </c>
      <c r="I9" t="s">
        <v>323</v>
      </c>
      <c r="K9" t="s">
        <v>329</v>
      </c>
      <c r="L9" t="s">
        <v>337</v>
      </c>
      <c r="O9" t="s">
        <v>346</v>
      </c>
      <c r="Q9" t="s">
        <v>399</v>
      </c>
      <c r="R9" t="s">
        <v>399</v>
      </c>
      <c r="S9" t="s">
        <v>360</v>
      </c>
      <c r="T9" t="s">
        <v>399</v>
      </c>
      <c r="V9" t="s">
        <v>326</v>
      </c>
      <c r="W9" t="s">
        <v>337</v>
      </c>
      <c r="AA9" s="212" t="s">
        <v>801</v>
      </c>
      <c r="AC9" t="s">
        <v>715</v>
      </c>
    </row>
    <row r="10" spans="1:29">
      <c r="A10" t="s">
        <v>431</v>
      </c>
      <c r="B10" s="181" t="s">
        <v>112</v>
      </c>
      <c r="C10" s="59" t="s">
        <v>64</v>
      </c>
      <c r="D10" s="59" t="s">
        <v>293</v>
      </c>
      <c r="E10" t="s">
        <v>374</v>
      </c>
      <c r="F10" t="s">
        <v>401</v>
      </c>
      <c r="G10" t="s">
        <v>374</v>
      </c>
      <c r="H10" t="s">
        <v>378</v>
      </c>
      <c r="I10" t="s">
        <v>324</v>
      </c>
      <c r="K10" t="s">
        <v>337</v>
      </c>
      <c r="L10" t="s">
        <v>346</v>
      </c>
      <c r="O10" t="s">
        <v>360</v>
      </c>
      <c r="S10" t="s">
        <v>399</v>
      </c>
      <c r="V10" t="s">
        <v>337</v>
      </c>
      <c r="W10" t="s">
        <v>346</v>
      </c>
      <c r="AA10" s="212" t="s">
        <v>802</v>
      </c>
      <c r="AC10" t="s">
        <v>716</v>
      </c>
    </row>
    <row r="11" spans="1:29">
      <c r="A11" t="s">
        <v>432</v>
      </c>
      <c r="B11" s="181" t="s">
        <v>112</v>
      </c>
      <c r="C11" s="59" t="s">
        <v>64</v>
      </c>
      <c r="D11" s="59" t="s">
        <v>293</v>
      </c>
      <c r="E11" t="s">
        <v>314</v>
      </c>
      <c r="F11" t="s">
        <v>402</v>
      </c>
      <c r="H11" t="s">
        <v>379</v>
      </c>
      <c r="I11" t="s">
        <v>325</v>
      </c>
      <c r="K11" t="s">
        <v>346</v>
      </c>
      <c r="L11" t="s">
        <v>360</v>
      </c>
      <c r="O11" t="s">
        <v>399</v>
      </c>
      <c r="V11" t="s">
        <v>360</v>
      </c>
      <c r="W11" t="s">
        <v>360</v>
      </c>
      <c r="AA11" s="212" t="s">
        <v>803</v>
      </c>
      <c r="AC11" t="s">
        <v>717</v>
      </c>
    </row>
    <row r="12" spans="1:29">
      <c r="A12" t="s">
        <v>433</v>
      </c>
      <c r="B12" s="181" t="s">
        <v>112</v>
      </c>
      <c r="C12" s="59" t="s">
        <v>64</v>
      </c>
      <c r="D12" s="59" t="s">
        <v>293</v>
      </c>
      <c r="E12" t="s">
        <v>323</v>
      </c>
      <c r="F12" t="s">
        <v>402</v>
      </c>
      <c r="H12" t="s">
        <v>380</v>
      </c>
      <c r="I12" t="s">
        <v>326</v>
      </c>
      <c r="K12" t="s">
        <v>360</v>
      </c>
      <c r="L12" t="s">
        <v>399</v>
      </c>
      <c r="V12" t="s">
        <v>399</v>
      </c>
      <c r="W12" t="s">
        <v>399</v>
      </c>
      <c r="AA12" s="212" t="s">
        <v>804</v>
      </c>
      <c r="AC12" t="s">
        <v>718</v>
      </c>
    </row>
    <row r="13" spans="1:29">
      <c r="A13" t="s">
        <v>434</v>
      </c>
      <c r="B13" s="181" t="s">
        <v>112</v>
      </c>
      <c r="C13" s="59" t="s">
        <v>64</v>
      </c>
      <c r="D13" s="59" t="s">
        <v>293</v>
      </c>
      <c r="E13" t="s">
        <v>325</v>
      </c>
      <c r="F13" t="s">
        <v>402</v>
      </c>
      <c r="H13" t="s">
        <v>381</v>
      </c>
      <c r="I13" t="s">
        <v>329</v>
      </c>
      <c r="K13" t="s">
        <v>399</v>
      </c>
      <c r="AA13" s="212" t="s">
        <v>805</v>
      </c>
      <c r="AC13" t="s">
        <v>719</v>
      </c>
    </row>
    <row r="14" spans="1:29">
      <c r="A14" t="s">
        <v>435</v>
      </c>
      <c r="B14" s="181" t="s">
        <v>112</v>
      </c>
      <c r="C14" s="59" t="s">
        <v>64</v>
      </c>
      <c r="D14" s="59" t="s">
        <v>293</v>
      </c>
      <c r="E14" t="s">
        <v>326</v>
      </c>
      <c r="F14" t="s">
        <v>402</v>
      </c>
      <c r="H14" t="s">
        <v>382</v>
      </c>
      <c r="I14" t="s">
        <v>335</v>
      </c>
      <c r="AA14" s="212" t="s">
        <v>806</v>
      </c>
      <c r="AC14" t="s">
        <v>720</v>
      </c>
    </row>
    <row r="15" spans="1:29">
      <c r="A15" t="s">
        <v>436</v>
      </c>
      <c r="B15" s="181" t="s">
        <v>112</v>
      </c>
      <c r="C15" s="59" t="s">
        <v>64</v>
      </c>
      <c r="D15" s="59" t="s">
        <v>293</v>
      </c>
      <c r="E15" t="s">
        <v>330</v>
      </c>
      <c r="F15" t="s">
        <v>402</v>
      </c>
      <c r="H15" t="s">
        <v>383</v>
      </c>
      <c r="I15" t="s">
        <v>337</v>
      </c>
      <c r="AA15" s="212" t="s">
        <v>807</v>
      </c>
      <c r="AC15" t="s">
        <v>721</v>
      </c>
    </row>
    <row r="16" spans="1:29">
      <c r="A16" t="s">
        <v>437</v>
      </c>
      <c r="B16" s="181" t="s">
        <v>112</v>
      </c>
      <c r="C16" s="59" t="s">
        <v>64</v>
      </c>
      <c r="D16" s="59" t="s">
        <v>293</v>
      </c>
      <c r="E16" t="s">
        <v>343</v>
      </c>
      <c r="F16" t="s">
        <v>402</v>
      </c>
      <c r="H16" t="s">
        <v>384</v>
      </c>
      <c r="I16" t="s">
        <v>343</v>
      </c>
      <c r="AA16" s="212" t="s">
        <v>808</v>
      </c>
      <c r="AC16" t="s">
        <v>722</v>
      </c>
    </row>
    <row r="17" spans="1:29">
      <c r="A17" t="s">
        <v>438</v>
      </c>
      <c r="B17" s="181" t="s">
        <v>112</v>
      </c>
      <c r="C17" s="59" t="s">
        <v>64</v>
      </c>
      <c r="D17" s="59" t="s">
        <v>293</v>
      </c>
      <c r="E17" t="s">
        <v>346</v>
      </c>
      <c r="F17" t="s">
        <v>402</v>
      </c>
      <c r="H17" t="s">
        <v>385</v>
      </c>
      <c r="I17" t="s">
        <v>346</v>
      </c>
      <c r="AA17" s="212" t="s">
        <v>809</v>
      </c>
      <c r="AC17" t="s">
        <v>723</v>
      </c>
    </row>
    <row r="18" spans="1:29">
      <c r="A18" t="s">
        <v>439</v>
      </c>
      <c r="B18" s="181" t="s">
        <v>112</v>
      </c>
      <c r="C18" s="59" t="s">
        <v>64</v>
      </c>
      <c r="D18" s="59" t="s">
        <v>293</v>
      </c>
      <c r="E18" t="s">
        <v>355</v>
      </c>
      <c r="F18" t="s">
        <v>402</v>
      </c>
      <c r="H18" t="s">
        <v>386</v>
      </c>
      <c r="I18" t="s">
        <v>360</v>
      </c>
      <c r="AA18" s="212" t="s">
        <v>810</v>
      </c>
      <c r="AC18" t="s">
        <v>724</v>
      </c>
    </row>
    <row r="19" spans="1:29">
      <c r="A19" t="s">
        <v>440</v>
      </c>
      <c r="B19" s="181" t="s">
        <v>112</v>
      </c>
      <c r="C19" s="59" t="s">
        <v>64</v>
      </c>
      <c r="D19" s="59" t="s">
        <v>293</v>
      </c>
      <c r="E19" t="s">
        <v>378</v>
      </c>
      <c r="F19" t="s">
        <v>402</v>
      </c>
      <c r="H19" t="s">
        <v>387</v>
      </c>
      <c r="I19" t="s">
        <v>399</v>
      </c>
      <c r="AA19" s="212" t="s">
        <v>811</v>
      </c>
      <c r="AC19" t="s">
        <v>725</v>
      </c>
    </row>
    <row r="20" spans="1:29">
      <c r="A20" t="s">
        <v>441</v>
      </c>
      <c r="B20" s="181" t="s">
        <v>112</v>
      </c>
      <c r="C20" s="59" t="s">
        <v>64</v>
      </c>
      <c r="D20" s="59" t="s">
        <v>293</v>
      </c>
      <c r="E20" t="s">
        <v>379</v>
      </c>
      <c r="F20" t="s">
        <v>402</v>
      </c>
      <c r="H20" t="s">
        <v>701</v>
      </c>
      <c r="AA20" s="212" t="s">
        <v>812</v>
      </c>
      <c r="AC20" t="s">
        <v>726</v>
      </c>
    </row>
    <row r="21" spans="1:29">
      <c r="A21" t="s">
        <v>442</v>
      </c>
      <c r="B21" s="181" t="s">
        <v>112</v>
      </c>
      <c r="C21" s="59" t="s">
        <v>64</v>
      </c>
      <c r="D21" s="59" t="s">
        <v>293</v>
      </c>
      <c r="E21" t="s">
        <v>380</v>
      </c>
      <c r="F21" t="s">
        <v>402</v>
      </c>
      <c r="H21" t="s">
        <v>388</v>
      </c>
      <c r="AA21" s="212" t="s">
        <v>813</v>
      </c>
      <c r="AC21" t="s">
        <v>727</v>
      </c>
    </row>
    <row r="22" spans="1:29">
      <c r="A22" t="s">
        <v>443</v>
      </c>
      <c r="B22" s="181" t="s">
        <v>112</v>
      </c>
      <c r="C22" s="59" t="s">
        <v>64</v>
      </c>
      <c r="D22" s="59" t="s">
        <v>293</v>
      </c>
      <c r="E22" t="s">
        <v>381</v>
      </c>
      <c r="F22" t="s">
        <v>402</v>
      </c>
      <c r="H22" t="s">
        <v>389</v>
      </c>
      <c r="AA22" s="212" t="s">
        <v>814</v>
      </c>
      <c r="AC22" t="s">
        <v>831</v>
      </c>
    </row>
    <row r="23" spans="1:29">
      <c r="A23" t="s">
        <v>444</v>
      </c>
      <c r="B23" s="181" t="s">
        <v>112</v>
      </c>
      <c r="C23" s="59" t="s">
        <v>64</v>
      </c>
      <c r="D23" s="59" t="s">
        <v>293</v>
      </c>
      <c r="E23" t="s">
        <v>382</v>
      </c>
      <c r="F23" t="s">
        <v>402</v>
      </c>
      <c r="H23" t="s">
        <v>390</v>
      </c>
      <c r="AA23" s="212" t="s">
        <v>815</v>
      </c>
      <c r="AC23" s="181" t="s">
        <v>791</v>
      </c>
    </row>
    <row r="24" spans="1:29">
      <c r="A24" t="s">
        <v>445</v>
      </c>
      <c r="B24" s="181" t="s">
        <v>112</v>
      </c>
      <c r="C24" s="59" t="s">
        <v>64</v>
      </c>
      <c r="D24" s="59" t="s">
        <v>293</v>
      </c>
      <c r="E24" t="s">
        <v>383</v>
      </c>
      <c r="F24" t="s">
        <v>402</v>
      </c>
      <c r="H24" t="s">
        <v>391</v>
      </c>
      <c r="AA24" s="212" t="s">
        <v>363</v>
      </c>
    </row>
    <row r="25" spans="1:29">
      <c r="A25" t="s">
        <v>446</v>
      </c>
      <c r="B25" s="181" t="s">
        <v>112</v>
      </c>
      <c r="C25" s="59" t="s">
        <v>64</v>
      </c>
      <c r="D25" s="59" t="s">
        <v>293</v>
      </c>
      <c r="E25" t="s">
        <v>384</v>
      </c>
      <c r="F25" t="s">
        <v>402</v>
      </c>
      <c r="H25" t="s">
        <v>392</v>
      </c>
      <c r="AA25" s="212" t="s">
        <v>816</v>
      </c>
    </row>
    <row r="26" spans="1:29">
      <c r="A26" t="s">
        <v>447</v>
      </c>
      <c r="B26" s="181" t="s">
        <v>112</v>
      </c>
      <c r="C26" s="59" t="s">
        <v>64</v>
      </c>
      <c r="D26" s="59" t="s">
        <v>293</v>
      </c>
      <c r="E26" t="s">
        <v>385</v>
      </c>
      <c r="F26" t="s">
        <v>402</v>
      </c>
      <c r="H26" t="s">
        <v>393</v>
      </c>
      <c r="AA26" s="212" t="s">
        <v>817</v>
      </c>
    </row>
    <row r="27" spans="1:29">
      <c r="A27" t="s">
        <v>448</v>
      </c>
      <c r="B27" s="181" t="s">
        <v>112</v>
      </c>
      <c r="C27" s="59" t="s">
        <v>64</v>
      </c>
      <c r="D27" s="59" t="s">
        <v>293</v>
      </c>
      <c r="E27" t="s">
        <v>386</v>
      </c>
      <c r="F27" t="s">
        <v>402</v>
      </c>
      <c r="H27" t="s">
        <v>394</v>
      </c>
      <c r="AA27" s="212" t="s">
        <v>818</v>
      </c>
    </row>
    <row r="28" spans="1:29">
      <c r="A28" t="s">
        <v>449</v>
      </c>
      <c r="B28" s="181" t="s">
        <v>112</v>
      </c>
      <c r="C28" s="59" t="s">
        <v>64</v>
      </c>
      <c r="D28" s="59" t="s">
        <v>293</v>
      </c>
      <c r="E28" t="s">
        <v>387</v>
      </c>
      <c r="F28" t="s">
        <v>402</v>
      </c>
      <c r="H28" t="s">
        <v>395</v>
      </c>
      <c r="AA28" s="212" t="s">
        <v>819</v>
      </c>
    </row>
    <row r="29" spans="1:29">
      <c r="A29" t="s">
        <v>450</v>
      </c>
      <c r="B29" s="181" t="s">
        <v>112</v>
      </c>
      <c r="C29" s="59" t="s">
        <v>64</v>
      </c>
      <c r="D29" s="59" t="s">
        <v>293</v>
      </c>
      <c r="E29" t="s">
        <v>701</v>
      </c>
      <c r="F29" t="s">
        <v>402</v>
      </c>
      <c r="H29" t="s">
        <v>396</v>
      </c>
      <c r="AA29" s="212" t="s">
        <v>820</v>
      </c>
    </row>
    <row r="30" spans="1:29">
      <c r="A30" t="s">
        <v>451</v>
      </c>
      <c r="B30" s="181" t="s">
        <v>112</v>
      </c>
      <c r="C30" s="59" t="s">
        <v>64</v>
      </c>
      <c r="D30" s="59" t="s">
        <v>293</v>
      </c>
      <c r="E30" t="s">
        <v>388</v>
      </c>
      <c r="F30" t="s">
        <v>402</v>
      </c>
      <c r="H30" t="s">
        <v>397</v>
      </c>
      <c r="AA30" s="212" t="s">
        <v>821</v>
      </c>
    </row>
    <row r="31" spans="1:29">
      <c r="A31" t="s">
        <v>452</v>
      </c>
      <c r="B31" s="181" t="s">
        <v>112</v>
      </c>
      <c r="C31" s="59" t="s">
        <v>64</v>
      </c>
      <c r="D31" s="59" t="s">
        <v>293</v>
      </c>
      <c r="E31" t="s">
        <v>389</v>
      </c>
      <c r="F31" t="s">
        <v>402</v>
      </c>
      <c r="AA31" s="212" t="s">
        <v>822</v>
      </c>
    </row>
    <row r="32" spans="1:29">
      <c r="A32" t="s">
        <v>453</v>
      </c>
      <c r="B32" s="181" t="s">
        <v>112</v>
      </c>
      <c r="C32" s="59" t="s">
        <v>64</v>
      </c>
      <c r="D32" s="59" t="s">
        <v>293</v>
      </c>
      <c r="E32" t="s">
        <v>390</v>
      </c>
      <c r="F32" t="s">
        <v>402</v>
      </c>
      <c r="AA32" s="212" t="s">
        <v>823</v>
      </c>
    </row>
    <row r="33" spans="1:27">
      <c r="A33" t="s">
        <v>454</v>
      </c>
      <c r="B33" s="181" t="s">
        <v>112</v>
      </c>
      <c r="C33" s="59" t="s">
        <v>64</v>
      </c>
      <c r="D33" s="59" t="s">
        <v>293</v>
      </c>
      <c r="E33" t="s">
        <v>391</v>
      </c>
      <c r="F33" t="s">
        <v>402</v>
      </c>
      <c r="AA33" s="212" t="s">
        <v>824</v>
      </c>
    </row>
    <row r="34" spans="1:27">
      <c r="A34" t="s">
        <v>455</v>
      </c>
      <c r="B34" s="181" t="s">
        <v>112</v>
      </c>
      <c r="C34" s="59" t="s">
        <v>64</v>
      </c>
      <c r="D34" s="59" t="s">
        <v>293</v>
      </c>
      <c r="E34" t="s">
        <v>392</v>
      </c>
      <c r="F34" t="s">
        <v>402</v>
      </c>
      <c r="AA34" s="212" t="s">
        <v>825</v>
      </c>
    </row>
    <row r="35" spans="1:27">
      <c r="A35" t="s">
        <v>456</v>
      </c>
      <c r="B35" s="181" t="s">
        <v>112</v>
      </c>
      <c r="C35" s="59" t="s">
        <v>64</v>
      </c>
      <c r="D35" s="59" t="s">
        <v>293</v>
      </c>
      <c r="E35" t="s">
        <v>393</v>
      </c>
      <c r="F35" t="s">
        <v>402</v>
      </c>
      <c r="AA35" s="212" t="s">
        <v>826</v>
      </c>
    </row>
    <row r="36" spans="1:27">
      <c r="A36" t="s">
        <v>457</v>
      </c>
      <c r="B36" s="181" t="s">
        <v>112</v>
      </c>
      <c r="C36" s="59" t="s">
        <v>64</v>
      </c>
      <c r="D36" s="59" t="s">
        <v>293</v>
      </c>
      <c r="E36" t="s">
        <v>394</v>
      </c>
      <c r="F36" t="s">
        <v>402</v>
      </c>
      <c r="AA36" s="212" t="s">
        <v>827</v>
      </c>
    </row>
    <row r="37" spans="1:27">
      <c r="A37" t="s">
        <v>458</v>
      </c>
      <c r="B37" s="181" t="s">
        <v>112</v>
      </c>
      <c r="C37" s="59" t="s">
        <v>64</v>
      </c>
      <c r="D37" s="59" t="s">
        <v>293</v>
      </c>
      <c r="E37" t="s">
        <v>395</v>
      </c>
      <c r="F37" t="s">
        <v>402</v>
      </c>
      <c r="AA37" s="212" t="s">
        <v>828</v>
      </c>
    </row>
    <row r="38" spans="1:27">
      <c r="A38" t="s">
        <v>459</v>
      </c>
      <c r="B38" s="181" t="s">
        <v>112</v>
      </c>
      <c r="C38" s="59" t="s">
        <v>64</v>
      </c>
      <c r="D38" s="59" t="s">
        <v>293</v>
      </c>
      <c r="E38" t="s">
        <v>396</v>
      </c>
      <c r="F38" t="s">
        <v>402</v>
      </c>
      <c r="AA38" s="212" t="s">
        <v>829</v>
      </c>
    </row>
    <row r="39" spans="1:27">
      <c r="A39" t="s">
        <v>460</v>
      </c>
      <c r="B39" s="181" t="s">
        <v>112</v>
      </c>
      <c r="C39" s="59" t="s">
        <v>64</v>
      </c>
      <c r="D39" s="59" t="s">
        <v>293</v>
      </c>
      <c r="E39" t="s">
        <v>397</v>
      </c>
      <c r="F39" t="s">
        <v>402</v>
      </c>
      <c r="AA39" t="s">
        <v>375</v>
      </c>
    </row>
    <row r="40" spans="1:27">
      <c r="A40" t="s">
        <v>461</v>
      </c>
      <c r="B40" s="181" t="s">
        <v>112</v>
      </c>
      <c r="C40" s="59" t="s">
        <v>64</v>
      </c>
      <c r="D40" s="59" t="s">
        <v>293</v>
      </c>
      <c r="E40" t="s">
        <v>306</v>
      </c>
      <c r="F40" t="s">
        <v>403</v>
      </c>
      <c r="AA40" t="s">
        <v>376</v>
      </c>
    </row>
    <row r="41" spans="1:27">
      <c r="A41" t="s">
        <v>462</v>
      </c>
      <c r="B41" s="181" t="s">
        <v>112</v>
      </c>
      <c r="C41" s="59" t="s">
        <v>64</v>
      </c>
      <c r="D41" s="59" t="s">
        <v>293</v>
      </c>
      <c r="E41" t="s">
        <v>310</v>
      </c>
      <c r="F41" t="s">
        <v>403</v>
      </c>
      <c r="AA41" t="s">
        <v>377</v>
      </c>
    </row>
    <row r="42" spans="1:27">
      <c r="A42" t="s">
        <v>463</v>
      </c>
      <c r="B42" s="181" t="s">
        <v>112</v>
      </c>
      <c r="C42" s="59" t="s">
        <v>64</v>
      </c>
      <c r="D42" s="59" t="s">
        <v>293</v>
      </c>
      <c r="E42" t="s">
        <v>315</v>
      </c>
      <c r="F42" t="s">
        <v>403</v>
      </c>
      <c r="AA42" t="s">
        <v>398</v>
      </c>
    </row>
    <row r="43" spans="1:27">
      <c r="A43" t="s">
        <v>464</v>
      </c>
      <c r="B43" s="181" t="s">
        <v>112</v>
      </c>
      <c r="C43" s="59" t="s">
        <v>64</v>
      </c>
      <c r="D43" s="59" t="s">
        <v>293</v>
      </c>
      <c r="E43" t="s">
        <v>316</v>
      </c>
      <c r="F43" t="s">
        <v>403</v>
      </c>
      <c r="AA43" t="s">
        <v>93</v>
      </c>
    </row>
    <row r="44" spans="1:27">
      <c r="A44" t="s">
        <v>465</v>
      </c>
      <c r="B44" s="181" t="s">
        <v>112</v>
      </c>
      <c r="C44" s="59" t="s">
        <v>64</v>
      </c>
      <c r="D44" s="59" t="s">
        <v>293</v>
      </c>
      <c r="E44" t="s">
        <v>319</v>
      </c>
      <c r="F44" t="s">
        <v>403</v>
      </c>
      <c r="AA44" t="s">
        <v>94</v>
      </c>
    </row>
    <row r="45" spans="1:27">
      <c r="A45" t="s">
        <v>466</v>
      </c>
      <c r="B45" s="181" t="s">
        <v>112</v>
      </c>
      <c r="C45" s="59" t="s">
        <v>64</v>
      </c>
      <c r="D45" s="59" t="s">
        <v>293</v>
      </c>
      <c r="E45" t="s">
        <v>320</v>
      </c>
      <c r="F45" t="s">
        <v>403</v>
      </c>
      <c r="AA45" t="s">
        <v>37</v>
      </c>
    </row>
    <row r="46" spans="1:27">
      <c r="A46" t="s">
        <v>467</v>
      </c>
      <c r="B46" s="181" t="s">
        <v>112</v>
      </c>
      <c r="C46" s="59" t="s">
        <v>64</v>
      </c>
      <c r="D46" s="59" t="s">
        <v>293</v>
      </c>
      <c r="E46" t="s">
        <v>322</v>
      </c>
      <c r="F46" t="s">
        <v>403</v>
      </c>
      <c r="AA46" t="s">
        <v>126</v>
      </c>
    </row>
    <row r="47" spans="1:27">
      <c r="A47" t="s">
        <v>468</v>
      </c>
      <c r="B47" s="181" t="s">
        <v>112</v>
      </c>
      <c r="C47" s="59" t="s">
        <v>64</v>
      </c>
      <c r="D47" s="59" t="s">
        <v>293</v>
      </c>
      <c r="E47" t="s">
        <v>323</v>
      </c>
      <c r="F47" t="s">
        <v>403</v>
      </c>
      <c r="AA47" t="s">
        <v>399</v>
      </c>
    </row>
    <row r="48" spans="1:27">
      <c r="A48" t="s">
        <v>469</v>
      </c>
      <c r="B48" s="181" t="s">
        <v>112</v>
      </c>
      <c r="C48" s="59" t="s">
        <v>64</v>
      </c>
      <c r="D48" s="59" t="s">
        <v>293</v>
      </c>
      <c r="E48" t="s">
        <v>324</v>
      </c>
      <c r="F48" t="s">
        <v>403</v>
      </c>
      <c r="AA48" t="s">
        <v>42</v>
      </c>
    </row>
    <row r="49" spans="1:6">
      <c r="A49" t="s">
        <v>470</v>
      </c>
      <c r="B49" t="s">
        <v>705</v>
      </c>
      <c r="E49" t="s">
        <v>325</v>
      </c>
      <c r="F49" t="s">
        <v>403</v>
      </c>
    </row>
    <row r="50" spans="1:6">
      <c r="A50" t="s">
        <v>471</v>
      </c>
      <c r="B50" s="181" t="s">
        <v>110</v>
      </c>
      <c r="C50" s="139" t="s">
        <v>62</v>
      </c>
      <c r="D50" s="139" t="s">
        <v>291</v>
      </c>
      <c r="E50" t="s">
        <v>326</v>
      </c>
      <c r="F50" t="s">
        <v>403</v>
      </c>
    </row>
    <row r="51" spans="1:6">
      <c r="A51" t="s">
        <v>472</v>
      </c>
      <c r="B51" s="181" t="s">
        <v>110</v>
      </c>
      <c r="C51" s="139" t="s">
        <v>62</v>
      </c>
      <c r="D51" s="139" t="s">
        <v>291</v>
      </c>
      <c r="E51" t="s">
        <v>329</v>
      </c>
      <c r="F51" t="s">
        <v>403</v>
      </c>
    </row>
    <row r="52" spans="1:6">
      <c r="A52" t="s">
        <v>473</v>
      </c>
      <c r="B52" s="181" t="s">
        <v>110</v>
      </c>
      <c r="C52" s="139" t="s">
        <v>62</v>
      </c>
      <c r="D52" s="139" t="s">
        <v>291</v>
      </c>
      <c r="E52" t="s">
        <v>335</v>
      </c>
      <c r="F52" t="s">
        <v>403</v>
      </c>
    </row>
    <row r="53" spans="1:6">
      <c r="A53" t="s">
        <v>474</v>
      </c>
      <c r="B53" s="181" t="s">
        <v>112</v>
      </c>
      <c r="C53" s="59" t="s">
        <v>64</v>
      </c>
      <c r="D53" s="59" t="s">
        <v>293</v>
      </c>
      <c r="E53" t="s">
        <v>337</v>
      </c>
      <c r="F53" t="s">
        <v>403</v>
      </c>
    </row>
    <row r="54" spans="1:6">
      <c r="A54" t="s">
        <v>475</v>
      </c>
      <c r="B54" s="181" t="s">
        <v>111</v>
      </c>
      <c r="C54" s="59" t="s">
        <v>63</v>
      </c>
      <c r="D54" s="59" t="s">
        <v>292</v>
      </c>
      <c r="E54" t="s">
        <v>343</v>
      </c>
      <c r="F54" t="s">
        <v>403</v>
      </c>
    </row>
    <row r="55" spans="1:6">
      <c r="A55" t="s">
        <v>476</v>
      </c>
      <c r="B55" s="181" t="s">
        <v>112</v>
      </c>
      <c r="C55" s="59" t="s">
        <v>64</v>
      </c>
      <c r="D55" s="59" t="s">
        <v>293</v>
      </c>
      <c r="E55" t="s">
        <v>346</v>
      </c>
      <c r="F55" t="s">
        <v>403</v>
      </c>
    </row>
    <row r="56" spans="1:6">
      <c r="A56" t="s">
        <v>477</v>
      </c>
      <c r="B56" s="181" t="s">
        <v>112</v>
      </c>
      <c r="C56" s="59" t="s">
        <v>64</v>
      </c>
      <c r="D56" s="59" t="s">
        <v>293</v>
      </c>
      <c r="E56" t="s">
        <v>360</v>
      </c>
      <c r="F56" t="s">
        <v>403</v>
      </c>
    </row>
    <row r="57" spans="1:6">
      <c r="A57" t="s">
        <v>478</v>
      </c>
      <c r="B57" s="181" t="s">
        <v>110</v>
      </c>
      <c r="C57" s="139" t="s">
        <v>62</v>
      </c>
      <c r="D57" s="139" t="s">
        <v>291</v>
      </c>
      <c r="E57" t="s">
        <v>399</v>
      </c>
      <c r="F57" t="s">
        <v>403</v>
      </c>
    </row>
    <row r="58" spans="1:6">
      <c r="A58" t="s">
        <v>479</v>
      </c>
      <c r="B58" s="181" t="s">
        <v>112</v>
      </c>
      <c r="C58" s="59" t="s">
        <v>64</v>
      </c>
      <c r="D58" s="59" t="s">
        <v>293</v>
      </c>
      <c r="E58" t="s">
        <v>322</v>
      </c>
      <c r="F58" t="s">
        <v>404</v>
      </c>
    </row>
    <row r="59" spans="1:6">
      <c r="A59" t="s">
        <v>480</v>
      </c>
      <c r="B59" s="181" t="s">
        <v>111</v>
      </c>
      <c r="C59" s="59" t="s">
        <v>63</v>
      </c>
      <c r="D59" s="59" t="s">
        <v>292</v>
      </c>
      <c r="E59" t="s">
        <v>337</v>
      </c>
      <c r="F59" t="s">
        <v>404</v>
      </c>
    </row>
    <row r="60" spans="1:6">
      <c r="A60" t="s">
        <v>481</v>
      </c>
      <c r="B60" s="181" t="s">
        <v>112</v>
      </c>
      <c r="C60" s="59" t="s">
        <v>64</v>
      </c>
      <c r="D60" s="59" t="s">
        <v>293</v>
      </c>
      <c r="E60" t="s">
        <v>346</v>
      </c>
      <c r="F60" t="s">
        <v>404</v>
      </c>
    </row>
    <row r="61" spans="1:6">
      <c r="A61" t="s">
        <v>482</v>
      </c>
      <c r="B61" s="181" t="s">
        <v>112</v>
      </c>
      <c r="C61" s="59" t="s">
        <v>64</v>
      </c>
      <c r="D61" s="59" t="s">
        <v>293</v>
      </c>
      <c r="E61" t="s">
        <v>360</v>
      </c>
      <c r="F61" t="s">
        <v>404</v>
      </c>
    </row>
    <row r="62" spans="1:6">
      <c r="A62" t="s">
        <v>483</v>
      </c>
      <c r="B62" s="181" t="s">
        <v>112</v>
      </c>
      <c r="C62" s="59" t="s">
        <v>64</v>
      </c>
      <c r="D62" s="59" t="s">
        <v>293</v>
      </c>
      <c r="E62" t="s">
        <v>399</v>
      </c>
      <c r="F62" t="s">
        <v>404</v>
      </c>
    </row>
    <row r="63" spans="1:6">
      <c r="A63" t="s">
        <v>484</v>
      </c>
      <c r="B63" s="181" t="s">
        <v>112</v>
      </c>
      <c r="C63" s="59" t="s">
        <v>64</v>
      </c>
      <c r="D63" s="59" t="s">
        <v>293</v>
      </c>
      <c r="E63" t="s">
        <v>311</v>
      </c>
      <c r="F63" t="s">
        <v>405</v>
      </c>
    </row>
    <row r="64" spans="1:6">
      <c r="A64" t="s">
        <v>485</v>
      </c>
      <c r="B64" s="181" t="s">
        <v>112</v>
      </c>
      <c r="C64" s="59" t="s">
        <v>64</v>
      </c>
      <c r="D64" s="59" t="s">
        <v>293</v>
      </c>
      <c r="E64" t="s">
        <v>314</v>
      </c>
      <c r="F64" t="s">
        <v>405</v>
      </c>
    </row>
    <row r="65" spans="1:6">
      <c r="A65" t="s">
        <v>486</v>
      </c>
      <c r="B65" s="181" t="s">
        <v>112</v>
      </c>
      <c r="C65" s="59" t="s">
        <v>64</v>
      </c>
      <c r="D65" s="59" t="s">
        <v>293</v>
      </c>
      <c r="E65" t="s">
        <v>319</v>
      </c>
      <c r="F65" t="s">
        <v>405</v>
      </c>
    </row>
    <row r="66" spans="1:6">
      <c r="A66" t="s">
        <v>487</v>
      </c>
      <c r="B66" s="181" t="s">
        <v>112</v>
      </c>
      <c r="C66" s="59" t="s">
        <v>64</v>
      </c>
      <c r="D66" s="59" t="s">
        <v>293</v>
      </c>
      <c r="E66" t="s">
        <v>322</v>
      </c>
      <c r="F66" t="s">
        <v>405</v>
      </c>
    </row>
    <row r="67" spans="1:6">
      <c r="A67" t="s">
        <v>488</v>
      </c>
      <c r="B67" s="181" t="s">
        <v>112</v>
      </c>
      <c r="C67" s="59" t="s">
        <v>64</v>
      </c>
      <c r="D67" s="59" t="s">
        <v>293</v>
      </c>
      <c r="E67" t="s">
        <v>323</v>
      </c>
      <c r="F67" t="s">
        <v>405</v>
      </c>
    </row>
    <row r="68" spans="1:6">
      <c r="A68" t="s">
        <v>489</v>
      </c>
      <c r="B68" t="s">
        <v>708</v>
      </c>
      <c r="E68" t="s">
        <v>324</v>
      </c>
      <c r="F68" t="s">
        <v>405</v>
      </c>
    </row>
    <row r="69" spans="1:6">
      <c r="A69" t="s">
        <v>490</v>
      </c>
      <c r="B69" s="181" t="s">
        <v>112</v>
      </c>
      <c r="C69" s="59" t="s">
        <v>64</v>
      </c>
      <c r="D69" s="59" t="s">
        <v>293</v>
      </c>
      <c r="E69" t="s">
        <v>326</v>
      </c>
      <c r="F69" t="s">
        <v>405</v>
      </c>
    </row>
    <row r="70" spans="1:6">
      <c r="A70" t="s">
        <v>491</v>
      </c>
      <c r="B70" s="181" t="s">
        <v>112</v>
      </c>
      <c r="C70" s="59" t="s">
        <v>64</v>
      </c>
      <c r="D70" s="59" t="s">
        <v>293</v>
      </c>
      <c r="E70" t="s">
        <v>329</v>
      </c>
      <c r="F70" t="s">
        <v>405</v>
      </c>
    </row>
    <row r="71" spans="1:6">
      <c r="A71" t="s">
        <v>492</v>
      </c>
      <c r="B71" s="181" t="s">
        <v>112</v>
      </c>
      <c r="C71" s="59" t="s">
        <v>64</v>
      </c>
      <c r="D71" s="59" t="s">
        <v>293</v>
      </c>
      <c r="E71" t="s">
        <v>337</v>
      </c>
      <c r="F71" t="s">
        <v>405</v>
      </c>
    </row>
    <row r="72" spans="1:6">
      <c r="A72" t="s">
        <v>493</v>
      </c>
      <c r="B72" s="181" t="s">
        <v>112</v>
      </c>
      <c r="C72" s="59" t="s">
        <v>64</v>
      </c>
      <c r="D72" s="59" t="s">
        <v>293</v>
      </c>
      <c r="E72" t="s">
        <v>346</v>
      </c>
      <c r="F72" t="s">
        <v>405</v>
      </c>
    </row>
    <row r="73" spans="1:6">
      <c r="A73" t="s">
        <v>494</v>
      </c>
      <c r="B73" s="181" t="s">
        <v>112</v>
      </c>
      <c r="C73" s="59" t="s">
        <v>64</v>
      </c>
      <c r="D73" s="59" t="s">
        <v>293</v>
      </c>
      <c r="E73" t="s">
        <v>360</v>
      </c>
      <c r="F73" t="s">
        <v>405</v>
      </c>
    </row>
    <row r="74" spans="1:6">
      <c r="A74" t="s">
        <v>495</v>
      </c>
      <c r="B74" s="181" t="s">
        <v>112</v>
      </c>
      <c r="C74" s="59" t="s">
        <v>64</v>
      </c>
      <c r="D74" s="59" t="s">
        <v>293</v>
      </c>
      <c r="E74" t="s">
        <v>399</v>
      </c>
      <c r="F74" t="s">
        <v>405</v>
      </c>
    </row>
    <row r="75" spans="1:6">
      <c r="A75" t="s">
        <v>496</v>
      </c>
      <c r="B75" s="181" t="s">
        <v>112</v>
      </c>
      <c r="C75" s="59" t="s">
        <v>64</v>
      </c>
      <c r="D75" s="59" t="s">
        <v>293</v>
      </c>
      <c r="E75" t="s">
        <v>310</v>
      </c>
      <c r="F75" t="s">
        <v>406</v>
      </c>
    </row>
    <row r="76" spans="1:6">
      <c r="A76" t="s">
        <v>497</v>
      </c>
      <c r="B76" s="181" t="s">
        <v>112</v>
      </c>
      <c r="C76" s="59" t="s">
        <v>64</v>
      </c>
      <c r="D76" s="59" t="s">
        <v>293</v>
      </c>
      <c r="E76" t="s">
        <v>319</v>
      </c>
      <c r="F76" t="s">
        <v>406</v>
      </c>
    </row>
    <row r="77" spans="1:6">
      <c r="A77" t="s">
        <v>498</v>
      </c>
      <c r="B77" s="181" t="s">
        <v>112</v>
      </c>
      <c r="C77" s="59" t="s">
        <v>64</v>
      </c>
      <c r="D77" s="59" t="s">
        <v>293</v>
      </c>
      <c r="E77" t="s">
        <v>322</v>
      </c>
      <c r="F77" t="s">
        <v>406</v>
      </c>
    </row>
    <row r="78" spans="1:6">
      <c r="A78" t="s">
        <v>499</v>
      </c>
      <c r="B78" s="181" t="s">
        <v>112</v>
      </c>
      <c r="C78" s="59" t="s">
        <v>64</v>
      </c>
      <c r="D78" s="59" t="s">
        <v>293</v>
      </c>
      <c r="E78" t="s">
        <v>323</v>
      </c>
      <c r="F78" t="s">
        <v>406</v>
      </c>
    </row>
    <row r="79" spans="1:6">
      <c r="A79" t="s">
        <v>500</v>
      </c>
      <c r="B79" s="181" t="s">
        <v>112</v>
      </c>
      <c r="C79" s="59" t="s">
        <v>64</v>
      </c>
      <c r="D79" s="59" t="s">
        <v>293</v>
      </c>
      <c r="E79" t="s">
        <v>324</v>
      </c>
      <c r="F79" t="s">
        <v>406</v>
      </c>
    </row>
    <row r="80" spans="1:6">
      <c r="A80" t="s">
        <v>501</v>
      </c>
      <c r="B80" s="181" t="s">
        <v>112</v>
      </c>
      <c r="C80" s="59" t="s">
        <v>64</v>
      </c>
      <c r="D80" s="59" t="s">
        <v>293</v>
      </c>
      <c r="E80" t="s">
        <v>325</v>
      </c>
      <c r="F80" t="s">
        <v>406</v>
      </c>
    </row>
    <row r="81" spans="1:6">
      <c r="A81" t="s">
        <v>502</v>
      </c>
      <c r="B81" s="181" t="s">
        <v>112</v>
      </c>
      <c r="C81" s="59" t="s">
        <v>64</v>
      </c>
      <c r="D81" s="59" t="s">
        <v>293</v>
      </c>
      <c r="E81" t="s">
        <v>326</v>
      </c>
      <c r="F81" t="s">
        <v>406</v>
      </c>
    </row>
    <row r="82" spans="1:6">
      <c r="A82" t="s">
        <v>503</v>
      </c>
      <c r="B82" s="181" t="s">
        <v>112</v>
      </c>
      <c r="C82" s="59" t="s">
        <v>64</v>
      </c>
      <c r="D82" s="59" t="s">
        <v>293</v>
      </c>
      <c r="E82" t="s">
        <v>337</v>
      </c>
      <c r="F82" t="s">
        <v>406</v>
      </c>
    </row>
    <row r="83" spans="1:6">
      <c r="A83" t="s">
        <v>504</v>
      </c>
      <c r="B83" s="181" t="s">
        <v>112</v>
      </c>
      <c r="C83" s="59" t="s">
        <v>64</v>
      </c>
      <c r="D83" s="59" t="s">
        <v>293</v>
      </c>
      <c r="E83" t="s">
        <v>346</v>
      </c>
      <c r="F83" t="s">
        <v>406</v>
      </c>
    </row>
    <row r="84" spans="1:6">
      <c r="A84" t="s">
        <v>505</v>
      </c>
      <c r="B84" s="181" t="s">
        <v>112</v>
      </c>
      <c r="C84" s="59" t="s">
        <v>64</v>
      </c>
      <c r="D84" s="59" t="s">
        <v>293</v>
      </c>
      <c r="E84" t="s">
        <v>360</v>
      </c>
      <c r="F84" t="s">
        <v>406</v>
      </c>
    </row>
    <row r="85" spans="1:6">
      <c r="A85" t="s">
        <v>506</v>
      </c>
      <c r="B85" s="181" t="s">
        <v>112</v>
      </c>
      <c r="C85" s="59" t="s">
        <v>64</v>
      </c>
      <c r="D85" s="59" t="s">
        <v>293</v>
      </c>
      <c r="E85" t="s">
        <v>399</v>
      </c>
      <c r="F85" t="s">
        <v>406</v>
      </c>
    </row>
    <row r="86" spans="1:6">
      <c r="A86" t="s">
        <v>507</v>
      </c>
      <c r="B86" s="181" t="s">
        <v>112</v>
      </c>
      <c r="C86" s="59" t="s">
        <v>64</v>
      </c>
      <c r="D86" s="59" t="s">
        <v>293</v>
      </c>
      <c r="E86" t="s">
        <v>307</v>
      </c>
      <c r="F86" t="s">
        <v>407</v>
      </c>
    </row>
    <row r="87" spans="1:6">
      <c r="A87" t="s">
        <v>508</v>
      </c>
      <c r="B87" s="181" t="s">
        <v>112</v>
      </c>
      <c r="C87" s="59" t="s">
        <v>64</v>
      </c>
      <c r="D87" s="59" t="s">
        <v>293</v>
      </c>
      <c r="E87" t="s">
        <v>322</v>
      </c>
      <c r="F87" t="s">
        <v>407</v>
      </c>
    </row>
    <row r="88" spans="1:6">
      <c r="A88" t="s">
        <v>509</v>
      </c>
      <c r="B88" s="181" t="s">
        <v>112</v>
      </c>
      <c r="C88" s="59" t="s">
        <v>64</v>
      </c>
      <c r="D88" s="59" t="s">
        <v>293</v>
      </c>
      <c r="E88" t="s">
        <v>323</v>
      </c>
      <c r="F88" t="s">
        <v>407</v>
      </c>
    </row>
    <row r="89" spans="1:6">
      <c r="A89" t="s">
        <v>510</v>
      </c>
      <c r="B89" s="181" t="s">
        <v>112</v>
      </c>
      <c r="C89" s="59" t="s">
        <v>64</v>
      </c>
      <c r="D89" s="59" t="s">
        <v>293</v>
      </c>
      <c r="E89" t="s">
        <v>326</v>
      </c>
      <c r="F89" t="s">
        <v>407</v>
      </c>
    </row>
    <row r="90" spans="1:6">
      <c r="A90" t="s">
        <v>511</v>
      </c>
      <c r="B90" s="181" t="s">
        <v>112</v>
      </c>
      <c r="C90" s="59" t="s">
        <v>64</v>
      </c>
      <c r="D90" s="59" t="s">
        <v>293</v>
      </c>
      <c r="E90" t="s">
        <v>337</v>
      </c>
      <c r="F90" t="s">
        <v>407</v>
      </c>
    </row>
    <row r="91" spans="1:6">
      <c r="A91" t="s">
        <v>512</v>
      </c>
      <c r="B91" s="181" t="s">
        <v>112</v>
      </c>
      <c r="C91" s="59" t="s">
        <v>64</v>
      </c>
      <c r="D91" s="59" t="s">
        <v>293</v>
      </c>
      <c r="E91" t="s">
        <v>360</v>
      </c>
      <c r="F91" t="s">
        <v>407</v>
      </c>
    </row>
    <row r="92" spans="1:6">
      <c r="A92" t="s">
        <v>513</v>
      </c>
      <c r="B92" s="181" t="s">
        <v>112</v>
      </c>
      <c r="C92" s="59" t="s">
        <v>64</v>
      </c>
      <c r="D92" s="59" t="s">
        <v>293</v>
      </c>
      <c r="E92" t="s">
        <v>399</v>
      </c>
      <c r="F92" t="s">
        <v>407</v>
      </c>
    </row>
    <row r="93" spans="1:6">
      <c r="A93" t="s">
        <v>514</v>
      </c>
      <c r="B93" s="181" t="s">
        <v>110</v>
      </c>
      <c r="C93" s="139" t="s">
        <v>62</v>
      </c>
      <c r="D93" s="139" t="s">
        <v>291</v>
      </c>
      <c r="E93" t="s">
        <v>310</v>
      </c>
      <c r="F93" t="s">
        <v>408</v>
      </c>
    </row>
    <row r="94" spans="1:6">
      <c r="A94" t="s">
        <v>515</v>
      </c>
      <c r="B94" s="181" t="s">
        <v>111</v>
      </c>
      <c r="C94" s="59" t="s">
        <v>63</v>
      </c>
      <c r="D94" s="59" t="s">
        <v>292</v>
      </c>
      <c r="E94" t="s">
        <v>322</v>
      </c>
      <c r="F94" t="s">
        <v>408</v>
      </c>
    </row>
    <row r="95" spans="1:6">
      <c r="A95" t="s">
        <v>516</v>
      </c>
      <c r="B95" s="181" t="s">
        <v>111</v>
      </c>
      <c r="C95" s="59" t="s">
        <v>63</v>
      </c>
      <c r="D95" s="59" t="s">
        <v>292</v>
      </c>
      <c r="E95" t="s">
        <v>323</v>
      </c>
      <c r="F95" t="s">
        <v>408</v>
      </c>
    </row>
    <row r="96" spans="1:6">
      <c r="A96" t="s">
        <v>517</v>
      </c>
      <c r="B96" s="181" t="s">
        <v>111</v>
      </c>
      <c r="C96" s="59" t="s">
        <v>63</v>
      </c>
      <c r="D96" s="59" t="s">
        <v>292</v>
      </c>
      <c r="E96" t="s">
        <v>337</v>
      </c>
      <c r="F96" t="s">
        <v>408</v>
      </c>
    </row>
    <row r="97" spans="1:6">
      <c r="A97" t="s">
        <v>518</v>
      </c>
      <c r="B97" s="181" t="s">
        <v>111</v>
      </c>
      <c r="C97" s="59" t="s">
        <v>63</v>
      </c>
      <c r="D97" s="59" t="s">
        <v>292</v>
      </c>
      <c r="E97" t="s">
        <v>346</v>
      </c>
      <c r="F97" t="s">
        <v>408</v>
      </c>
    </row>
    <row r="98" spans="1:6">
      <c r="A98" t="s">
        <v>519</v>
      </c>
      <c r="B98" s="181" t="s">
        <v>111</v>
      </c>
      <c r="C98" s="59" t="s">
        <v>63</v>
      </c>
      <c r="D98" s="59" t="s">
        <v>292</v>
      </c>
      <c r="E98" t="s">
        <v>360</v>
      </c>
      <c r="F98" t="s">
        <v>408</v>
      </c>
    </row>
    <row r="99" spans="1:6">
      <c r="A99" t="s">
        <v>520</v>
      </c>
      <c r="B99" s="181" t="s">
        <v>111</v>
      </c>
      <c r="C99" s="59" t="s">
        <v>63</v>
      </c>
      <c r="D99" s="59" t="s">
        <v>292</v>
      </c>
      <c r="E99" t="s">
        <v>399</v>
      </c>
      <c r="F99" t="s">
        <v>408</v>
      </c>
    </row>
    <row r="100" spans="1:6">
      <c r="A100" t="s">
        <v>521</v>
      </c>
      <c r="B100" s="181" t="s">
        <v>111</v>
      </c>
      <c r="C100" s="59" t="s">
        <v>63</v>
      </c>
      <c r="D100" s="59" t="s">
        <v>292</v>
      </c>
      <c r="E100" t="s">
        <v>310</v>
      </c>
      <c r="F100" t="s">
        <v>409</v>
      </c>
    </row>
    <row r="101" spans="1:6">
      <c r="A101" t="s">
        <v>522</v>
      </c>
      <c r="B101" s="181" t="s">
        <v>111</v>
      </c>
      <c r="C101" s="59" t="s">
        <v>63</v>
      </c>
      <c r="D101" s="59" t="s">
        <v>292</v>
      </c>
      <c r="E101" t="s">
        <v>319</v>
      </c>
      <c r="F101" t="s">
        <v>409</v>
      </c>
    </row>
    <row r="102" spans="1:6">
      <c r="A102" t="s">
        <v>523</v>
      </c>
      <c r="B102" s="181" t="s">
        <v>111</v>
      </c>
      <c r="C102" s="59" t="s">
        <v>63</v>
      </c>
      <c r="D102" s="59" t="s">
        <v>292</v>
      </c>
      <c r="E102" t="s">
        <v>322</v>
      </c>
      <c r="F102" t="s">
        <v>409</v>
      </c>
    </row>
    <row r="103" spans="1:6">
      <c r="A103" t="s">
        <v>524</v>
      </c>
      <c r="B103" s="181" t="s">
        <v>111</v>
      </c>
      <c r="C103" s="59" t="s">
        <v>63</v>
      </c>
      <c r="D103" s="59" t="s">
        <v>292</v>
      </c>
      <c r="E103" t="s">
        <v>323</v>
      </c>
      <c r="F103" t="s">
        <v>409</v>
      </c>
    </row>
    <row r="104" spans="1:6">
      <c r="A104" t="s">
        <v>525</v>
      </c>
      <c r="B104" s="181" t="s">
        <v>111</v>
      </c>
      <c r="C104" s="59" t="s">
        <v>63</v>
      </c>
      <c r="D104" s="59" t="s">
        <v>292</v>
      </c>
      <c r="E104" t="s">
        <v>324</v>
      </c>
      <c r="F104" t="s">
        <v>409</v>
      </c>
    </row>
    <row r="105" spans="1:6">
      <c r="A105" t="s">
        <v>526</v>
      </c>
      <c r="B105" s="181" t="s">
        <v>111</v>
      </c>
      <c r="C105" s="59" t="s">
        <v>63</v>
      </c>
      <c r="D105" s="59" t="s">
        <v>292</v>
      </c>
      <c r="E105" t="s">
        <v>326</v>
      </c>
      <c r="F105" t="s">
        <v>409</v>
      </c>
    </row>
    <row r="106" spans="1:6">
      <c r="A106" t="s">
        <v>527</v>
      </c>
      <c r="B106" s="181" t="s">
        <v>111</v>
      </c>
      <c r="C106" s="59" t="s">
        <v>63</v>
      </c>
      <c r="D106" s="59" t="s">
        <v>292</v>
      </c>
      <c r="E106" t="s">
        <v>337</v>
      </c>
      <c r="F106" t="s">
        <v>409</v>
      </c>
    </row>
    <row r="107" spans="1:6">
      <c r="A107" t="s">
        <v>528</v>
      </c>
      <c r="B107" s="181" t="s">
        <v>111</v>
      </c>
      <c r="C107" s="59" t="s">
        <v>63</v>
      </c>
      <c r="D107" s="59" t="s">
        <v>292</v>
      </c>
      <c r="E107" t="s">
        <v>346</v>
      </c>
      <c r="F107" t="s">
        <v>409</v>
      </c>
    </row>
    <row r="108" spans="1:6">
      <c r="A108" t="s">
        <v>529</v>
      </c>
      <c r="B108" s="181" t="s">
        <v>111</v>
      </c>
      <c r="C108" s="59" t="s">
        <v>63</v>
      </c>
      <c r="D108" s="59" t="s">
        <v>292</v>
      </c>
      <c r="E108" t="s">
        <v>360</v>
      </c>
      <c r="F108" t="s">
        <v>409</v>
      </c>
    </row>
    <row r="109" spans="1:6">
      <c r="A109" t="s">
        <v>530</v>
      </c>
      <c r="B109" s="181" t="s">
        <v>111</v>
      </c>
      <c r="C109" s="59" t="s">
        <v>63</v>
      </c>
      <c r="D109" s="59" t="s">
        <v>292</v>
      </c>
      <c r="E109" t="s">
        <v>399</v>
      </c>
      <c r="F109" t="s">
        <v>409</v>
      </c>
    </row>
    <row r="110" spans="1:6">
      <c r="A110" t="s">
        <v>531</v>
      </c>
      <c r="B110" s="181" t="s">
        <v>111</v>
      </c>
      <c r="C110" s="59" t="s">
        <v>63</v>
      </c>
      <c r="D110" s="59" t="s">
        <v>292</v>
      </c>
      <c r="E110" t="s">
        <v>319</v>
      </c>
      <c r="F110" t="s">
        <v>410</v>
      </c>
    </row>
    <row r="111" spans="1:6">
      <c r="A111" t="s">
        <v>532</v>
      </c>
      <c r="B111" s="181" t="s">
        <v>111</v>
      </c>
      <c r="C111" s="59" t="s">
        <v>63</v>
      </c>
      <c r="D111" s="59" t="s">
        <v>292</v>
      </c>
      <c r="E111" t="s">
        <v>322</v>
      </c>
      <c r="F111" t="s">
        <v>410</v>
      </c>
    </row>
    <row r="112" spans="1:6">
      <c r="A112" t="s">
        <v>533</v>
      </c>
      <c r="B112" s="181" t="s">
        <v>111</v>
      </c>
      <c r="C112" s="59" t="s">
        <v>63</v>
      </c>
      <c r="D112" s="59" t="s">
        <v>292</v>
      </c>
      <c r="E112" t="s">
        <v>337</v>
      </c>
      <c r="F112" t="s">
        <v>410</v>
      </c>
    </row>
    <row r="113" spans="1:6">
      <c r="A113" t="s">
        <v>534</v>
      </c>
      <c r="B113" s="181" t="s">
        <v>111</v>
      </c>
      <c r="C113" s="59" t="s">
        <v>63</v>
      </c>
      <c r="D113" s="59" t="s">
        <v>292</v>
      </c>
      <c r="E113" t="s">
        <v>360</v>
      </c>
      <c r="F113" t="s">
        <v>410</v>
      </c>
    </row>
    <row r="114" spans="1:6">
      <c r="A114" t="s">
        <v>535</v>
      </c>
      <c r="B114" s="181" t="s">
        <v>111</v>
      </c>
      <c r="C114" s="59" t="s">
        <v>63</v>
      </c>
      <c r="D114" s="59" t="s">
        <v>292</v>
      </c>
      <c r="E114" t="s">
        <v>399</v>
      </c>
      <c r="F114" t="s">
        <v>410</v>
      </c>
    </row>
    <row r="115" spans="1:6">
      <c r="A115" t="s">
        <v>536</v>
      </c>
      <c r="B115" s="181" t="s">
        <v>111</v>
      </c>
      <c r="C115" s="59" t="s">
        <v>63</v>
      </c>
      <c r="D115" s="59" t="s">
        <v>292</v>
      </c>
      <c r="E115" t="s">
        <v>314</v>
      </c>
      <c r="F115" t="s">
        <v>411</v>
      </c>
    </row>
    <row r="116" spans="1:6">
      <c r="A116" t="s">
        <v>537</v>
      </c>
      <c r="B116" s="181" t="s">
        <v>111</v>
      </c>
      <c r="C116" s="59" t="s">
        <v>63</v>
      </c>
      <c r="D116" s="59" t="s">
        <v>292</v>
      </c>
      <c r="E116" t="s">
        <v>319</v>
      </c>
      <c r="F116" t="s">
        <v>411</v>
      </c>
    </row>
    <row r="117" spans="1:6">
      <c r="A117" t="s">
        <v>538</v>
      </c>
      <c r="B117" s="181" t="s">
        <v>111</v>
      </c>
      <c r="C117" s="59" t="s">
        <v>63</v>
      </c>
      <c r="D117" s="59" t="s">
        <v>292</v>
      </c>
      <c r="E117" t="s">
        <v>322</v>
      </c>
      <c r="F117" t="s">
        <v>411</v>
      </c>
    </row>
    <row r="118" spans="1:6">
      <c r="A118" t="s">
        <v>539</v>
      </c>
      <c r="B118" s="181" t="s">
        <v>111</v>
      </c>
      <c r="C118" s="59" t="s">
        <v>63</v>
      </c>
      <c r="D118" s="59" t="s">
        <v>292</v>
      </c>
      <c r="E118" t="s">
        <v>323</v>
      </c>
      <c r="F118" t="s">
        <v>411</v>
      </c>
    </row>
    <row r="119" spans="1:6">
      <c r="A119" t="s">
        <v>540</v>
      </c>
      <c r="B119" s="181" t="s">
        <v>111</v>
      </c>
      <c r="C119" s="59" t="s">
        <v>63</v>
      </c>
      <c r="D119" s="59" t="s">
        <v>292</v>
      </c>
      <c r="E119" t="s">
        <v>337</v>
      </c>
      <c r="F119" t="s">
        <v>411</v>
      </c>
    </row>
    <row r="120" spans="1:6">
      <c r="A120" t="s">
        <v>541</v>
      </c>
      <c r="B120" s="181" t="s">
        <v>111</v>
      </c>
      <c r="C120" s="59" t="s">
        <v>63</v>
      </c>
      <c r="D120" s="59" t="s">
        <v>292</v>
      </c>
      <c r="E120" t="s">
        <v>346</v>
      </c>
      <c r="F120" t="s">
        <v>411</v>
      </c>
    </row>
    <row r="121" spans="1:6">
      <c r="A121" t="s">
        <v>542</v>
      </c>
      <c r="B121" s="181" t="s">
        <v>111</v>
      </c>
      <c r="C121" s="59" t="s">
        <v>63</v>
      </c>
      <c r="D121" s="59" t="s">
        <v>292</v>
      </c>
      <c r="E121" t="s">
        <v>360</v>
      </c>
      <c r="F121" t="s">
        <v>411</v>
      </c>
    </row>
    <row r="122" spans="1:6">
      <c r="A122" t="s">
        <v>543</v>
      </c>
      <c r="B122" s="181" t="s">
        <v>111</v>
      </c>
      <c r="C122" s="59" t="s">
        <v>63</v>
      </c>
      <c r="D122" s="59" t="s">
        <v>292</v>
      </c>
      <c r="E122" t="s">
        <v>399</v>
      </c>
      <c r="F122" t="s">
        <v>411</v>
      </c>
    </row>
    <row r="123" spans="1:6">
      <c r="A123" t="s">
        <v>544</v>
      </c>
      <c r="B123" s="181" t="s">
        <v>111</v>
      </c>
      <c r="C123" s="59" t="s">
        <v>63</v>
      </c>
      <c r="D123" s="59" t="s">
        <v>292</v>
      </c>
      <c r="E123" t="s">
        <v>310</v>
      </c>
      <c r="F123" t="s">
        <v>412</v>
      </c>
    </row>
    <row r="124" spans="1:6">
      <c r="A124" t="s">
        <v>545</v>
      </c>
      <c r="B124" s="181" t="s">
        <v>111</v>
      </c>
      <c r="C124" s="59" t="s">
        <v>63</v>
      </c>
      <c r="D124" s="59" t="s">
        <v>292</v>
      </c>
      <c r="E124" t="s">
        <v>319</v>
      </c>
      <c r="F124" t="s">
        <v>412</v>
      </c>
    </row>
    <row r="125" spans="1:6">
      <c r="A125" t="s">
        <v>546</v>
      </c>
      <c r="B125" s="181" t="s">
        <v>111</v>
      </c>
      <c r="C125" s="59" t="s">
        <v>63</v>
      </c>
      <c r="D125" s="59" t="s">
        <v>292</v>
      </c>
      <c r="E125" t="s">
        <v>322</v>
      </c>
      <c r="F125" t="s">
        <v>412</v>
      </c>
    </row>
    <row r="126" spans="1:6">
      <c r="A126" t="s">
        <v>547</v>
      </c>
      <c r="B126" s="181" t="s">
        <v>111</v>
      </c>
      <c r="C126" s="59" t="s">
        <v>63</v>
      </c>
      <c r="D126" s="59" t="s">
        <v>292</v>
      </c>
      <c r="E126" t="s">
        <v>323</v>
      </c>
      <c r="F126" t="s">
        <v>412</v>
      </c>
    </row>
    <row r="127" spans="1:6">
      <c r="A127" t="s">
        <v>548</v>
      </c>
      <c r="B127" s="181" t="s">
        <v>111</v>
      </c>
      <c r="C127" s="59" t="s">
        <v>63</v>
      </c>
      <c r="D127" s="59" t="s">
        <v>292</v>
      </c>
      <c r="E127" t="s">
        <v>337</v>
      </c>
      <c r="F127" t="s">
        <v>412</v>
      </c>
    </row>
    <row r="128" spans="1:6">
      <c r="A128" t="s">
        <v>549</v>
      </c>
      <c r="B128" s="181" t="s">
        <v>111</v>
      </c>
      <c r="C128" s="59" t="s">
        <v>63</v>
      </c>
      <c r="D128" s="59" t="s">
        <v>292</v>
      </c>
      <c r="E128" t="s">
        <v>346</v>
      </c>
      <c r="F128" t="s">
        <v>412</v>
      </c>
    </row>
    <row r="129" spans="1:6">
      <c r="A129" t="s">
        <v>550</v>
      </c>
      <c r="B129" s="181" t="s">
        <v>111</v>
      </c>
      <c r="C129" s="59" t="s">
        <v>63</v>
      </c>
      <c r="D129" s="59" t="s">
        <v>292</v>
      </c>
      <c r="E129" t="s">
        <v>360</v>
      </c>
      <c r="F129" t="s">
        <v>412</v>
      </c>
    </row>
    <row r="130" spans="1:6">
      <c r="A130" t="s">
        <v>551</v>
      </c>
      <c r="B130" s="181" t="s">
        <v>111</v>
      </c>
      <c r="C130" s="59" t="s">
        <v>63</v>
      </c>
      <c r="D130" s="59" t="s">
        <v>292</v>
      </c>
      <c r="E130" t="s">
        <v>399</v>
      </c>
      <c r="F130" t="s">
        <v>412</v>
      </c>
    </row>
    <row r="131" spans="1:6">
      <c r="A131" t="s">
        <v>552</v>
      </c>
      <c r="B131" s="181" t="s">
        <v>111</v>
      </c>
      <c r="C131" s="59" t="s">
        <v>63</v>
      </c>
      <c r="D131" s="59" t="s">
        <v>292</v>
      </c>
      <c r="E131" t="s">
        <v>310</v>
      </c>
      <c r="F131" t="s">
        <v>413</v>
      </c>
    </row>
    <row r="132" spans="1:6">
      <c r="A132" t="s">
        <v>553</v>
      </c>
      <c r="B132" s="181" t="s">
        <v>111</v>
      </c>
      <c r="C132" s="59" t="s">
        <v>63</v>
      </c>
      <c r="D132" s="59" t="s">
        <v>292</v>
      </c>
      <c r="E132" t="s">
        <v>319</v>
      </c>
      <c r="F132" t="s">
        <v>413</v>
      </c>
    </row>
    <row r="133" spans="1:6">
      <c r="A133" t="s">
        <v>554</v>
      </c>
      <c r="B133" s="181" t="s">
        <v>111</v>
      </c>
      <c r="C133" s="59" t="s">
        <v>63</v>
      </c>
      <c r="D133" s="59" t="s">
        <v>292</v>
      </c>
      <c r="E133" t="s">
        <v>322</v>
      </c>
      <c r="F133" t="s">
        <v>413</v>
      </c>
    </row>
    <row r="134" spans="1:6">
      <c r="A134" t="s">
        <v>555</v>
      </c>
      <c r="B134" s="181" t="s">
        <v>111</v>
      </c>
      <c r="C134" s="59" t="s">
        <v>63</v>
      </c>
      <c r="D134" s="59" t="s">
        <v>292</v>
      </c>
      <c r="E134" t="s">
        <v>323</v>
      </c>
      <c r="F134" t="s">
        <v>413</v>
      </c>
    </row>
    <row r="135" spans="1:6">
      <c r="A135" t="s">
        <v>556</v>
      </c>
      <c r="B135" s="181" t="s">
        <v>111</v>
      </c>
      <c r="C135" s="59" t="s">
        <v>63</v>
      </c>
      <c r="D135" s="59" t="s">
        <v>292</v>
      </c>
      <c r="E135" t="s">
        <v>326</v>
      </c>
      <c r="F135" t="s">
        <v>413</v>
      </c>
    </row>
    <row r="136" spans="1:6">
      <c r="A136" t="s">
        <v>557</v>
      </c>
      <c r="B136" s="181" t="s">
        <v>111</v>
      </c>
      <c r="C136" s="59" t="s">
        <v>63</v>
      </c>
      <c r="D136" s="59" t="s">
        <v>292</v>
      </c>
      <c r="E136" t="s">
        <v>337</v>
      </c>
      <c r="F136" t="s">
        <v>413</v>
      </c>
    </row>
    <row r="137" spans="1:6">
      <c r="A137" t="s">
        <v>558</v>
      </c>
      <c r="B137" s="181" t="s">
        <v>111</v>
      </c>
      <c r="C137" s="59" t="s">
        <v>63</v>
      </c>
      <c r="D137" s="59" t="s">
        <v>292</v>
      </c>
      <c r="E137" t="s">
        <v>346</v>
      </c>
      <c r="F137" t="s">
        <v>413</v>
      </c>
    </row>
    <row r="138" spans="1:6">
      <c r="A138" t="s">
        <v>559</v>
      </c>
      <c r="B138" s="181" t="s">
        <v>111</v>
      </c>
      <c r="C138" s="59" t="s">
        <v>63</v>
      </c>
      <c r="D138" s="59" t="s">
        <v>292</v>
      </c>
      <c r="E138" t="s">
        <v>360</v>
      </c>
      <c r="F138" t="s">
        <v>413</v>
      </c>
    </row>
    <row r="139" spans="1:6">
      <c r="A139" t="s">
        <v>560</v>
      </c>
      <c r="B139" s="181" t="s">
        <v>111</v>
      </c>
      <c r="C139" s="59" t="s">
        <v>63</v>
      </c>
      <c r="D139" s="59" t="s">
        <v>292</v>
      </c>
      <c r="E139" t="s">
        <v>399</v>
      </c>
      <c r="F139" t="s">
        <v>413</v>
      </c>
    </row>
    <row r="140" spans="1:6">
      <c r="A140" t="s">
        <v>561</v>
      </c>
      <c r="B140" s="181" t="s">
        <v>111</v>
      </c>
      <c r="C140" s="59" t="s">
        <v>63</v>
      </c>
      <c r="D140" s="59" t="s">
        <v>292</v>
      </c>
      <c r="E140" t="s">
        <v>310</v>
      </c>
      <c r="F140" t="s">
        <v>414</v>
      </c>
    </row>
    <row r="141" spans="1:6">
      <c r="A141" t="s">
        <v>562</v>
      </c>
      <c r="B141" s="181" t="s">
        <v>111</v>
      </c>
      <c r="C141" s="59" t="s">
        <v>63</v>
      </c>
      <c r="D141" s="59" t="s">
        <v>292</v>
      </c>
      <c r="E141" t="s">
        <v>319</v>
      </c>
      <c r="F141" t="s">
        <v>414</v>
      </c>
    </row>
    <row r="142" spans="1:6">
      <c r="A142" t="s">
        <v>563</v>
      </c>
      <c r="B142" s="181" t="s">
        <v>111</v>
      </c>
      <c r="C142" s="59" t="s">
        <v>63</v>
      </c>
      <c r="D142" s="59" t="s">
        <v>292</v>
      </c>
      <c r="E142" t="s">
        <v>322</v>
      </c>
      <c r="F142" t="s">
        <v>414</v>
      </c>
    </row>
    <row r="143" spans="1:6">
      <c r="A143" t="s">
        <v>564</v>
      </c>
      <c r="B143" s="181" t="s">
        <v>111</v>
      </c>
      <c r="C143" s="59" t="s">
        <v>63</v>
      </c>
      <c r="D143" s="59" t="s">
        <v>292</v>
      </c>
      <c r="E143" t="s">
        <v>323</v>
      </c>
      <c r="F143" t="s">
        <v>414</v>
      </c>
    </row>
    <row r="144" spans="1:6">
      <c r="A144" t="s">
        <v>565</v>
      </c>
      <c r="B144" s="181" t="s">
        <v>111</v>
      </c>
      <c r="C144" s="59" t="s">
        <v>63</v>
      </c>
      <c r="D144" s="59" t="s">
        <v>292</v>
      </c>
      <c r="E144" t="s">
        <v>337</v>
      </c>
      <c r="F144" t="s">
        <v>414</v>
      </c>
    </row>
    <row r="145" spans="1:6">
      <c r="A145" t="s">
        <v>566</v>
      </c>
      <c r="B145" s="181" t="s">
        <v>111</v>
      </c>
      <c r="C145" s="59" t="s">
        <v>63</v>
      </c>
      <c r="D145" s="59" t="s">
        <v>292</v>
      </c>
      <c r="E145" t="s">
        <v>346</v>
      </c>
      <c r="F145" t="s">
        <v>414</v>
      </c>
    </row>
    <row r="146" spans="1:6">
      <c r="A146" t="s">
        <v>567</v>
      </c>
      <c r="B146" s="181" t="s">
        <v>111</v>
      </c>
      <c r="C146" s="59" t="s">
        <v>63</v>
      </c>
      <c r="D146" s="59" t="s">
        <v>292</v>
      </c>
      <c r="E146" t="s">
        <v>360</v>
      </c>
      <c r="F146" t="s">
        <v>414</v>
      </c>
    </row>
    <row r="147" spans="1:6">
      <c r="A147" t="s">
        <v>568</v>
      </c>
      <c r="B147" s="181" t="s">
        <v>111</v>
      </c>
      <c r="C147" s="59" t="s">
        <v>63</v>
      </c>
      <c r="D147" s="59" t="s">
        <v>292</v>
      </c>
      <c r="E147" t="s">
        <v>399</v>
      </c>
      <c r="F147" t="s">
        <v>414</v>
      </c>
    </row>
    <row r="148" spans="1:6">
      <c r="A148" t="s">
        <v>569</v>
      </c>
      <c r="B148" s="181" t="s">
        <v>111</v>
      </c>
      <c r="C148" s="59" t="s">
        <v>63</v>
      </c>
      <c r="D148" s="59" t="s">
        <v>292</v>
      </c>
      <c r="E148" t="s">
        <v>322</v>
      </c>
      <c r="F148" t="s">
        <v>415</v>
      </c>
    </row>
    <row r="149" spans="1:6">
      <c r="A149" t="s">
        <v>570</v>
      </c>
      <c r="B149" s="181" t="s">
        <v>111</v>
      </c>
      <c r="C149" s="59" t="s">
        <v>63</v>
      </c>
      <c r="D149" s="59" t="s">
        <v>292</v>
      </c>
      <c r="E149" t="s">
        <v>323</v>
      </c>
      <c r="F149" t="s">
        <v>415</v>
      </c>
    </row>
    <row r="150" spans="1:6">
      <c r="A150" t="s">
        <v>571</v>
      </c>
      <c r="B150" s="181" t="s">
        <v>111</v>
      </c>
      <c r="C150" s="59" t="s">
        <v>63</v>
      </c>
      <c r="D150" s="59" t="s">
        <v>292</v>
      </c>
      <c r="E150" t="s">
        <v>337</v>
      </c>
      <c r="F150" t="s">
        <v>415</v>
      </c>
    </row>
    <row r="151" spans="1:6">
      <c r="A151" t="s">
        <v>572</v>
      </c>
      <c r="B151" s="181" t="s">
        <v>111</v>
      </c>
      <c r="C151" s="59" t="s">
        <v>63</v>
      </c>
      <c r="D151" s="59" t="s">
        <v>292</v>
      </c>
      <c r="E151" t="s">
        <v>346</v>
      </c>
      <c r="F151" t="s">
        <v>415</v>
      </c>
    </row>
    <row r="152" spans="1:6">
      <c r="A152" t="s">
        <v>573</v>
      </c>
      <c r="B152" s="181" t="s">
        <v>112</v>
      </c>
      <c r="C152" s="59" t="s">
        <v>64</v>
      </c>
      <c r="D152" s="59" t="s">
        <v>293</v>
      </c>
      <c r="E152" t="s">
        <v>360</v>
      </c>
      <c r="F152" t="s">
        <v>415</v>
      </c>
    </row>
    <row r="153" spans="1:6">
      <c r="A153" t="s">
        <v>574</v>
      </c>
      <c r="B153" s="181" t="s">
        <v>110</v>
      </c>
      <c r="C153" s="139" t="s">
        <v>62</v>
      </c>
      <c r="D153" s="139" t="s">
        <v>291</v>
      </c>
      <c r="E153" t="s">
        <v>399</v>
      </c>
      <c r="F153" t="s">
        <v>415</v>
      </c>
    </row>
    <row r="154" spans="1:6">
      <c r="A154" t="s">
        <v>575</v>
      </c>
      <c r="B154" s="181" t="s">
        <v>110</v>
      </c>
      <c r="C154" s="139" t="s">
        <v>62</v>
      </c>
      <c r="D154" s="139" t="s">
        <v>291</v>
      </c>
      <c r="E154" t="s">
        <v>307</v>
      </c>
      <c r="F154" t="s">
        <v>416</v>
      </c>
    </row>
    <row r="155" spans="1:6">
      <c r="A155" t="s">
        <v>576</v>
      </c>
      <c r="B155" s="181" t="s">
        <v>110</v>
      </c>
      <c r="C155" s="139" t="s">
        <v>62</v>
      </c>
      <c r="D155" s="139" t="s">
        <v>291</v>
      </c>
      <c r="E155" t="s">
        <v>310</v>
      </c>
      <c r="F155" t="s">
        <v>416</v>
      </c>
    </row>
    <row r="156" spans="1:6">
      <c r="A156" t="s">
        <v>577</v>
      </c>
      <c r="B156" s="181" t="s">
        <v>110</v>
      </c>
      <c r="C156" s="139" t="s">
        <v>62</v>
      </c>
      <c r="D156" s="139" t="s">
        <v>291</v>
      </c>
      <c r="E156" t="s">
        <v>318</v>
      </c>
      <c r="F156" t="s">
        <v>416</v>
      </c>
    </row>
    <row r="157" spans="1:6">
      <c r="A157" t="s">
        <v>578</v>
      </c>
      <c r="B157" s="181" t="s">
        <v>110</v>
      </c>
      <c r="C157" s="139" t="s">
        <v>62</v>
      </c>
      <c r="D157" s="139" t="s">
        <v>291</v>
      </c>
      <c r="E157" t="s">
        <v>319</v>
      </c>
      <c r="F157" t="s">
        <v>416</v>
      </c>
    </row>
    <row r="158" spans="1:6">
      <c r="A158" t="s">
        <v>579</v>
      </c>
      <c r="B158" s="181" t="s">
        <v>110</v>
      </c>
      <c r="C158" s="139" t="s">
        <v>62</v>
      </c>
      <c r="D158" s="139" t="s">
        <v>291</v>
      </c>
      <c r="E158" t="s">
        <v>322</v>
      </c>
      <c r="F158" t="s">
        <v>416</v>
      </c>
    </row>
    <row r="159" spans="1:6">
      <c r="A159" s="184" t="s">
        <v>580</v>
      </c>
      <c r="B159" s="181" t="s">
        <v>110</v>
      </c>
      <c r="C159" s="139" t="s">
        <v>62</v>
      </c>
      <c r="D159" s="139" t="s">
        <v>291</v>
      </c>
      <c r="E159" t="s">
        <v>323</v>
      </c>
      <c r="F159" t="s">
        <v>416</v>
      </c>
    </row>
    <row r="160" spans="1:6">
      <c r="A160" s="184" t="s">
        <v>581</v>
      </c>
      <c r="B160" s="181" t="s">
        <v>110</v>
      </c>
      <c r="C160" s="139" t="s">
        <v>62</v>
      </c>
      <c r="D160" s="139" t="s">
        <v>291</v>
      </c>
      <c r="E160" t="s">
        <v>324</v>
      </c>
      <c r="F160" t="s">
        <v>416</v>
      </c>
    </row>
    <row r="161" spans="1:6">
      <c r="A161" s="184" t="s">
        <v>582</v>
      </c>
      <c r="B161" s="181" t="s">
        <v>110</v>
      </c>
      <c r="C161" s="139" t="s">
        <v>62</v>
      </c>
      <c r="D161" s="139" t="s">
        <v>291</v>
      </c>
      <c r="E161" t="s">
        <v>326</v>
      </c>
      <c r="F161" t="s">
        <v>416</v>
      </c>
    </row>
    <row r="162" spans="1:6">
      <c r="A162" s="184" t="s">
        <v>583</v>
      </c>
      <c r="B162" s="181" t="s">
        <v>110</v>
      </c>
      <c r="C162" s="139" t="s">
        <v>62</v>
      </c>
      <c r="D162" s="139" t="s">
        <v>291</v>
      </c>
      <c r="E162" t="s">
        <v>337</v>
      </c>
      <c r="F162" t="s">
        <v>416</v>
      </c>
    </row>
    <row r="163" spans="1:6">
      <c r="A163" s="184" t="s">
        <v>584</v>
      </c>
      <c r="B163" s="181" t="s">
        <v>110</v>
      </c>
      <c r="C163" s="139" t="s">
        <v>62</v>
      </c>
      <c r="D163" s="139" t="s">
        <v>291</v>
      </c>
      <c r="E163" t="s">
        <v>360</v>
      </c>
      <c r="F163" t="s">
        <v>416</v>
      </c>
    </row>
    <row r="164" spans="1:6">
      <c r="A164" s="184" t="s">
        <v>585</v>
      </c>
      <c r="B164" s="181" t="s">
        <v>110</v>
      </c>
      <c r="C164" s="139" t="s">
        <v>62</v>
      </c>
      <c r="D164" s="139" t="s">
        <v>291</v>
      </c>
      <c r="E164" t="s">
        <v>399</v>
      </c>
      <c r="F164" t="s">
        <v>416</v>
      </c>
    </row>
    <row r="165" spans="1:6">
      <c r="A165" s="183" t="s">
        <v>586</v>
      </c>
      <c r="B165" s="181" t="s">
        <v>110</v>
      </c>
      <c r="C165" s="139" t="s">
        <v>62</v>
      </c>
      <c r="D165" s="139" t="s">
        <v>291</v>
      </c>
      <c r="E165" t="s">
        <v>310</v>
      </c>
      <c r="F165" t="s">
        <v>417</v>
      </c>
    </row>
    <row r="166" spans="1:6">
      <c r="A166" s="183" t="s">
        <v>587</v>
      </c>
      <c r="B166" s="181" t="s">
        <v>110</v>
      </c>
      <c r="C166" s="139" t="s">
        <v>62</v>
      </c>
      <c r="D166" s="139" t="s">
        <v>291</v>
      </c>
      <c r="E166" t="s">
        <v>319</v>
      </c>
      <c r="F166" t="s">
        <v>417</v>
      </c>
    </row>
    <row r="167" spans="1:6">
      <c r="A167" s="184" t="s">
        <v>588</v>
      </c>
      <c r="B167" s="181" t="s">
        <v>110</v>
      </c>
      <c r="C167" s="139" t="s">
        <v>62</v>
      </c>
      <c r="D167" s="139" t="s">
        <v>291</v>
      </c>
      <c r="E167" t="s">
        <v>322</v>
      </c>
      <c r="F167" t="s">
        <v>417</v>
      </c>
    </row>
    <row r="168" spans="1:6">
      <c r="A168" t="s">
        <v>589</v>
      </c>
      <c r="B168" s="181" t="s">
        <v>110</v>
      </c>
      <c r="C168" s="139" t="s">
        <v>62</v>
      </c>
      <c r="D168" s="139" t="s">
        <v>291</v>
      </c>
      <c r="E168" t="s">
        <v>323</v>
      </c>
      <c r="F168" t="s">
        <v>417</v>
      </c>
    </row>
    <row r="169" spans="1:6">
      <c r="A169" s="183" t="s">
        <v>590</v>
      </c>
      <c r="B169" s="181" t="s">
        <v>110</v>
      </c>
      <c r="C169" s="139" t="s">
        <v>62</v>
      </c>
      <c r="D169" s="139" t="s">
        <v>291</v>
      </c>
      <c r="E169" t="s">
        <v>324</v>
      </c>
      <c r="F169" t="s">
        <v>417</v>
      </c>
    </row>
    <row r="170" spans="1:6">
      <c r="A170" t="s">
        <v>591</v>
      </c>
      <c r="B170" s="181" t="s">
        <v>110</v>
      </c>
      <c r="C170" s="139" t="s">
        <v>62</v>
      </c>
      <c r="D170" s="139" t="s">
        <v>291</v>
      </c>
      <c r="E170" t="s">
        <v>326</v>
      </c>
      <c r="F170" t="s">
        <v>417</v>
      </c>
    </row>
    <row r="171" spans="1:6">
      <c r="A171" t="s">
        <v>592</v>
      </c>
      <c r="B171" s="181" t="s">
        <v>110</v>
      </c>
      <c r="C171" s="139" t="s">
        <v>62</v>
      </c>
      <c r="D171" s="139" t="s">
        <v>291</v>
      </c>
      <c r="E171" t="s">
        <v>329</v>
      </c>
      <c r="F171" t="s">
        <v>417</v>
      </c>
    </row>
    <row r="172" spans="1:6">
      <c r="A172" s="184" t="s">
        <v>593</v>
      </c>
      <c r="B172" s="181" t="s">
        <v>110</v>
      </c>
      <c r="C172" s="139" t="s">
        <v>62</v>
      </c>
      <c r="D172" s="139" t="s">
        <v>291</v>
      </c>
      <c r="E172" t="s">
        <v>337</v>
      </c>
      <c r="F172" t="s">
        <v>417</v>
      </c>
    </row>
    <row r="173" spans="1:6">
      <c r="A173" t="s">
        <v>594</v>
      </c>
      <c r="B173" s="181" t="s">
        <v>110</v>
      </c>
      <c r="C173" s="139" t="s">
        <v>62</v>
      </c>
      <c r="D173" s="139" t="s">
        <v>291</v>
      </c>
      <c r="E173" t="s">
        <v>346</v>
      </c>
      <c r="F173" t="s">
        <v>417</v>
      </c>
    </row>
    <row r="174" spans="1:6">
      <c r="A174" s="184" t="s">
        <v>595</v>
      </c>
      <c r="B174" s="181" t="s">
        <v>110</v>
      </c>
      <c r="C174" s="139" t="s">
        <v>62</v>
      </c>
      <c r="D174" s="139" t="s">
        <v>291</v>
      </c>
      <c r="E174" t="s">
        <v>360</v>
      </c>
      <c r="F174" t="s">
        <v>417</v>
      </c>
    </row>
    <row r="175" spans="1:6">
      <c r="A175" t="s">
        <v>596</v>
      </c>
      <c r="B175" s="181" t="s">
        <v>110</v>
      </c>
      <c r="C175" s="139" t="s">
        <v>62</v>
      </c>
      <c r="D175" s="139" t="s">
        <v>291</v>
      </c>
      <c r="E175" t="s">
        <v>399</v>
      </c>
      <c r="F175" t="s">
        <v>417</v>
      </c>
    </row>
    <row r="176" spans="1:6">
      <c r="A176" t="s">
        <v>597</v>
      </c>
      <c r="B176" s="181" t="s">
        <v>110</v>
      </c>
      <c r="C176" s="139" t="s">
        <v>62</v>
      </c>
      <c r="D176" s="139" t="s">
        <v>291</v>
      </c>
      <c r="E176" t="s">
        <v>321</v>
      </c>
      <c r="F176" t="s">
        <v>418</v>
      </c>
    </row>
    <row r="177" spans="1:6">
      <c r="A177" s="184" t="s">
        <v>598</v>
      </c>
      <c r="B177" s="181" t="s">
        <v>110</v>
      </c>
      <c r="C177" s="139" t="s">
        <v>62</v>
      </c>
      <c r="D177" s="139" t="s">
        <v>291</v>
      </c>
      <c r="E177" t="s">
        <v>336</v>
      </c>
      <c r="F177" t="s">
        <v>418</v>
      </c>
    </row>
    <row r="178" spans="1:6">
      <c r="A178" s="184" t="s">
        <v>599</v>
      </c>
      <c r="B178" s="181" t="s">
        <v>110</v>
      </c>
      <c r="C178" s="139" t="s">
        <v>62</v>
      </c>
      <c r="D178" s="139" t="s">
        <v>291</v>
      </c>
      <c r="E178" t="s">
        <v>365</v>
      </c>
      <c r="F178" t="s">
        <v>418</v>
      </c>
    </row>
    <row r="179" spans="1:6">
      <c r="A179" t="s">
        <v>600</v>
      </c>
      <c r="B179" s="181" t="s">
        <v>110</v>
      </c>
      <c r="C179" s="139" t="s">
        <v>62</v>
      </c>
      <c r="D179" s="139" t="s">
        <v>291</v>
      </c>
      <c r="E179" t="s">
        <v>307</v>
      </c>
      <c r="F179" t="s">
        <v>419</v>
      </c>
    </row>
    <row r="180" spans="1:6">
      <c r="A180" s="184" t="s">
        <v>601</v>
      </c>
      <c r="B180" s="181" t="s">
        <v>110</v>
      </c>
      <c r="C180" s="139" t="s">
        <v>62</v>
      </c>
      <c r="D180" s="139" t="s">
        <v>291</v>
      </c>
      <c r="E180" t="s">
        <v>321</v>
      </c>
      <c r="F180" t="s">
        <v>419</v>
      </c>
    </row>
    <row r="181" spans="1:6">
      <c r="A181" s="184" t="s">
        <v>602</v>
      </c>
      <c r="B181" s="181" t="s">
        <v>110</v>
      </c>
      <c r="C181" s="139" t="s">
        <v>62</v>
      </c>
      <c r="D181" s="139" t="s">
        <v>291</v>
      </c>
      <c r="E181" t="s">
        <v>336</v>
      </c>
      <c r="F181" t="s">
        <v>419</v>
      </c>
    </row>
    <row r="182" spans="1:6">
      <c r="A182" t="s">
        <v>603</v>
      </c>
      <c r="B182" s="181" t="s">
        <v>112</v>
      </c>
      <c r="C182" s="59" t="s">
        <v>64</v>
      </c>
      <c r="D182" s="59" t="s">
        <v>293</v>
      </c>
      <c r="E182" t="s">
        <v>365</v>
      </c>
      <c r="F182" t="s">
        <v>419</v>
      </c>
    </row>
    <row r="183" spans="1:6">
      <c r="A183" t="s">
        <v>604</v>
      </c>
      <c r="B183" s="181" t="s">
        <v>112</v>
      </c>
      <c r="C183" s="59" t="s">
        <v>64</v>
      </c>
      <c r="D183" s="59" t="s">
        <v>293</v>
      </c>
      <c r="E183" t="s">
        <v>321</v>
      </c>
      <c r="F183" t="s">
        <v>420</v>
      </c>
    </row>
    <row r="184" spans="1:6">
      <c r="A184" t="s">
        <v>605</v>
      </c>
      <c r="B184" s="181" t="s">
        <v>111</v>
      </c>
      <c r="C184" s="59" t="s">
        <v>63</v>
      </c>
      <c r="D184" s="59" t="s">
        <v>292</v>
      </c>
      <c r="E184" t="s">
        <v>323</v>
      </c>
      <c r="F184" t="s">
        <v>420</v>
      </c>
    </row>
    <row r="185" spans="1:6">
      <c r="A185" t="s">
        <v>606</v>
      </c>
      <c r="B185" s="181" t="s">
        <v>112</v>
      </c>
      <c r="C185" s="59" t="s">
        <v>64</v>
      </c>
      <c r="D185" s="59" t="s">
        <v>293</v>
      </c>
      <c r="E185" t="s">
        <v>365</v>
      </c>
      <c r="F185" t="s">
        <v>420</v>
      </c>
    </row>
    <row r="186" spans="1:6">
      <c r="A186" t="s">
        <v>607</v>
      </c>
      <c r="B186" s="181" t="s">
        <v>112</v>
      </c>
      <c r="C186" s="59" t="s">
        <v>64</v>
      </c>
      <c r="D186" s="59" t="s">
        <v>293</v>
      </c>
      <c r="E186" t="s">
        <v>305</v>
      </c>
      <c r="F186" t="s">
        <v>421</v>
      </c>
    </row>
    <row r="187" spans="1:6">
      <c r="A187" t="s">
        <v>608</v>
      </c>
      <c r="B187" s="181" t="s">
        <v>112</v>
      </c>
      <c r="C187" s="59" t="s">
        <v>64</v>
      </c>
      <c r="D187" s="59" t="s">
        <v>293</v>
      </c>
      <c r="E187" t="s">
        <v>128</v>
      </c>
      <c r="F187" t="s">
        <v>421</v>
      </c>
    </row>
    <row r="188" spans="1:6">
      <c r="A188" t="s">
        <v>609</v>
      </c>
      <c r="B188" s="181" t="s">
        <v>111</v>
      </c>
      <c r="C188" s="59" t="s">
        <v>63</v>
      </c>
      <c r="D188" s="59" t="s">
        <v>292</v>
      </c>
      <c r="E188" t="s">
        <v>308</v>
      </c>
      <c r="F188" t="s">
        <v>421</v>
      </c>
    </row>
    <row r="189" spans="1:6">
      <c r="A189" t="s">
        <v>610</v>
      </c>
      <c r="B189" s="181" t="s">
        <v>111</v>
      </c>
      <c r="C189" s="59" t="s">
        <v>63</v>
      </c>
      <c r="D189" s="59" t="s">
        <v>292</v>
      </c>
      <c r="E189" t="s">
        <v>309</v>
      </c>
      <c r="F189" t="s">
        <v>421</v>
      </c>
    </row>
    <row r="190" spans="1:6">
      <c r="A190" t="s">
        <v>611</v>
      </c>
      <c r="B190" s="181" t="s">
        <v>111</v>
      </c>
      <c r="C190" s="59" t="s">
        <v>63</v>
      </c>
      <c r="D190" s="59" t="s">
        <v>292</v>
      </c>
      <c r="E190" t="s">
        <v>310</v>
      </c>
      <c r="F190" t="s">
        <v>421</v>
      </c>
    </row>
    <row r="191" spans="1:6">
      <c r="A191" t="s">
        <v>612</v>
      </c>
      <c r="B191" s="181" t="s">
        <v>111</v>
      </c>
      <c r="C191" s="59" t="s">
        <v>63</v>
      </c>
      <c r="D191" s="59" t="s">
        <v>292</v>
      </c>
      <c r="E191" t="s">
        <v>312</v>
      </c>
      <c r="F191" t="s">
        <v>421</v>
      </c>
    </row>
    <row r="192" spans="1:6">
      <c r="A192" t="s">
        <v>613</v>
      </c>
      <c r="B192" s="181" t="s">
        <v>111</v>
      </c>
      <c r="C192" s="59" t="s">
        <v>63</v>
      </c>
      <c r="D192" s="59" t="s">
        <v>292</v>
      </c>
      <c r="E192" t="s">
        <v>313</v>
      </c>
      <c r="F192" t="s">
        <v>421</v>
      </c>
    </row>
    <row r="193" spans="1:6">
      <c r="A193" t="s">
        <v>614</v>
      </c>
      <c r="B193" s="181" t="s">
        <v>111</v>
      </c>
      <c r="C193" s="59" t="s">
        <v>63</v>
      </c>
      <c r="D193" s="59" t="s">
        <v>292</v>
      </c>
      <c r="E193" t="s">
        <v>315</v>
      </c>
      <c r="F193" t="s">
        <v>421</v>
      </c>
    </row>
    <row r="194" spans="1:6">
      <c r="A194" t="s">
        <v>615</v>
      </c>
      <c r="B194" s="181" t="s">
        <v>111</v>
      </c>
      <c r="C194" s="59" t="s">
        <v>63</v>
      </c>
      <c r="D194" s="59" t="s">
        <v>292</v>
      </c>
      <c r="E194" t="s">
        <v>317</v>
      </c>
      <c r="F194" t="s">
        <v>421</v>
      </c>
    </row>
    <row r="195" spans="1:6">
      <c r="A195" t="s">
        <v>616</v>
      </c>
      <c r="B195" s="181" t="s">
        <v>111</v>
      </c>
      <c r="C195" s="59" t="s">
        <v>63</v>
      </c>
      <c r="D195" s="59" t="s">
        <v>292</v>
      </c>
      <c r="E195" t="s">
        <v>325</v>
      </c>
      <c r="F195" t="s">
        <v>421</v>
      </c>
    </row>
    <row r="196" spans="1:6">
      <c r="A196" t="s">
        <v>617</v>
      </c>
      <c r="B196" s="181" t="s">
        <v>111</v>
      </c>
      <c r="C196" s="59" t="s">
        <v>63</v>
      </c>
      <c r="D196" s="59" t="s">
        <v>292</v>
      </c>
      <c r="E196" t="s">
        <v>327</v>
      </c>
      <c r="F196" t="s">
        <v>421</v>
      </c>
    </row>
    <row r="197" spans="1:6">
      <c r="A197" t="s">
        <v>618</v>
      </c>
      <c r="B197" s="181" t="s">
        <v>111</v>
      </c>
      <c r="C197" s="59" t="s">
        <v>63</v>
      </c>
      <c r="D197" s="59" t="s">
        <v>292</v>
      </c>
      <c r="E197" t="s">
        <v>328</v>
      </c>
      <c r="F197" t="s">
        <v>421</v>
      </c>
    </row>
    <row r="198" spans="1:6">
      <c r="A198" t="s">
        <v>619</v>
      </c>
      <c r="B198" s="181" t="s">
        <v>111</v>
      </c>
      <c r="C198" s="59" t="s">
        <v>63</v>
      </c>
      <c r="D198" s="59" t="s">
        <v>292</v>
      </c>
      <c r="E198" t="s">
        <v>331</v>
      </c>
      <c r="F198" t="s">
        <v>421</v>
      </c>
    </row>
    <row r="199" spans="1:6">
      <c r="A199" t="s">
        <v>620</v>
      </c>
      <c r="B199" s="181" t="s">
        <v>111</v>
      </c>
      <c r="C199" s="59" t="s">
        <v>63</v>
      </c>
      <c r="D199" s="59" t="s">
        <v>292</v>
      </c>
      <c r="E199" t="s">
        <v>332</v>
      </c>
      <c r="F199" t="s">
        <v>421</v>
      </c>
    </row>
    <row r="200" spans="1:6">
      <c r="A200" t="s">
        <v>621</v>
      </c>
      <c r="B200" s="181" t="s">
        <v>111</v>
      </c>
      <c r="C200" s="59" t="s">
        <v>63</v>
      </c>
      <c r="D200" s="59" t="s">
        <v>292</v>
      </c>
      <c r="E200" t="s">
        <v>333</v>
      </c>
      <c r="F200" t="s">
        <v>421</v>
      </c>
    </row>
    <row r="201" spans="1:6">
      <c r="A201" t="s">
        <v>622</v>
      </c>
      <c r="B201" s="181" t="s">
        <v>111</v>
      </c>
      <c r="C201" s="59" t="s">
        <v>63</v>
      </c>
      <c r="D201" s="59" t="s">
        <v>292</v>
      </c>
      <c r="E201" t="s">
        <v>334</v>
      </c>
      <c r="F201" t="s">
        <v>421</v>
      </c>
    </row>
    <row r="202" spans="1:6">
      <c r="A202" t="s">
        <v>623</v>
      </c>
      <c r="B202" s="181" t="s">
        <v>111</v>
      </c>
      <c r="C202" s="59" t="s">
        <v>63</v>
      </c>
      <c r="D202" s="59" t="s">
        <v>292</v>
      </c>
      <c r="E202" t="s">
        <v>341</v>
      </c>
      <c r="F202" t="s">
        <v>421</v>
      </c>
    </row>
    <row r="203" spans="1:6">
      <c r="A203" t="s">
        <v>624</v>
      </c>
      <c r="B203" s="181" t="s">
        <v>111</v>
      </c>
      <c r="C203" s="59" t="s">
        <v>63</v>
      </c>
      <c r="D203" s="59" t="s">
        <v>292</v>
      </c>
      <c r="E203" t="s">
        <v>342</v>
      </c>
      <c r="F203" t="s">
        <v>421</v>
      </c>
    </row>
    <row r="204" spans="1:6">
      <c r="A204" t="s">
        <v>625</v>
      </c>
      <c r="B204" s="181" t="s">
        <v>111</v>
      </c>
      <c r="C204" s="59" t="s">
        <v>63</v>
      </c>
      <c r="D204" s="59" t="s">
        <v>292</v>
      </c>
      <c r="E204" t="s">
        <v>344</v>
      </c>
      <c r="F204" t="s">
        <v>421</v>
      </c>
    </row>
    <row r="205" spans="1:6">
      <c r="A205" t="s">
        <v>626</v>
      </c>
      <c r="B205" s="181" t="s">
        <v>111</v>
      </c>
      <c r="C205" s="59" t="s">
        <v>63</v>
      </c>
      <c r="D205" s="59" t="s">
        <v>292</v>
      </c>
      <c r="E205" t="s">
        <v>347</v>
      </c>
      <c r="F205" t="s">
        <v>421</v>
      </c>
    </row>
    <row r="206" spans="1:6">
      <c r="A206" t="s">
        <v>627</v>
      </c>
      <c r="B206" s="181" t="s">
        <v>111</v>
      </c>
      <c r="C206" s="59" t="s">
        <v>63</v>
      </c>
      <c r="D206" s="59" t="s">
        <v>292</v>
      </c>
      <c r="E206" t="s">
        <v>351</v>
      </c>
      <c r="F206" t="s">
        <v>421</v>
      </c>
    </row>
    <row r="207" spans="1:6">
      <c r="A207" t="s">
        <v>628</v>
      </c>
      <c r="B207" s="181" t="s">
        <v>111</v>
      </c>
      <c r="C207" s="59" t="s">
        <v>63</v>
      </c>
      <c r="D207" s="59" t="s">
        <v>292</v>
      </c>
      <c r="E207" t="s">
        <v>352</v>
      </c>
      <c r="F207" t="s">
        <v>421</v>
      </c>
    </row>
    <row r="208" spans="1:6">
      <c r="A208" t="s">
        <v>629</v>
      </c>
      <c r="B208" s="181" t="s">
        <v>111</v>
      </c>
      <c r="C208" s="59" t="s">
        <v>63</v>
      </c>
      <c r="D208" s="59" t="s">
        <v>292</v>
      </c>
      <c r="E208" t="s">
        <v>353</v>
      </c>
      <c r="F208" t="s">
        <v>421</v>
      </c>
    </row>
    <row r="209" spans="1:6">
      <c r="A209" t="s">
        <v>630</v>
      </c>
      <c r="B209" s="181" t="s">
        <v>111</v>
      </c>
      <c r="C209" s="59" t="s">
        <v>63</v>
      </c>
      <c r="D209" s="59" t="s">
        <v>292</v>
      </c>
      <c r="E209" t="s">
        <v>354</v>
      </c>
      <c r="F209" t="s">
        <v>421</v>
      </c>
    </row>
    <row r="210" spans="1:6">
      <c r="A210" t="s">
        <v>631</v>
      </c>
      <c r="B210" s="181" t="s">
        <v>111</v>
      </c>
      <c r="C210" s="59" t="s">
        <v>63</v>
      </c>
      <c r="D210" s="59" t="s">
        <v>292</v>
      </c>
      <c r="E210" t="s">
        <v>356</v>
      </c>
      <c r="F210" t="s">
        <v>421</v>
      </c>
    </row>
    <row r="211" spans="1:6">
      <c r="A211" t="s">
        <v>632</v>
      </c>
      <c r="B211" s="181" t="s">
        <v>111</v>
      </c>
      <c r="C211" s="59" t="s">
        <v>63</v>
      </c>
      <c r="D211" s="59" t="s">
        <v>292</v>
      </c>
      <c r="E211" t="s">
        <v>358</v>
      </c>
      <c r="F211" t="s">
        <v>421</v>
      </c>
    </row>
    <row r="212" spans="1:6">
      <c r="A212" t="s">
        <v>633</v>
      </c>
      <c r="B212" s="181" t="s">
        <v>111</v>
      </c>
      <c r="C212" s="59" t="s">
        <v>63</v>
      </c>
      <c r="D212" s="59" t="s">
        <v>292</v>
      </c>
      <c r="E212" t="s">
        <v>359</v>
      </c>
      <c r="F212" t="s">
        <v>421</v>
      </c>
    </row>
    <row r="213" spans="1:6">
      <c r="A213" t="s">
        <v>634</v>
      </c>
      <c r="B213" s="181" t="s">
        <v>111</v>
      </c>
      <c r="C213" s="59" t="s">
        <v>63</v>
      </c>
      <c r="D213" s="59" t="s">
        <v>292</v>
      </c>
      <c r="E213" t="s">
        <v>361</v>
      </c>
      <c r="F213" t="s">
        <v>421</v>
      </c>
    </row>
    <row r="214" spans="1:6">
      <c r="A214" t="s">
        <v>635</v>
      </c>
      <c r="B214" s="181" t="s">
        <v>111</v>
      </c>
      <c r="C214" s="59" t="s">
        <v>63</v>
      </c>
      <c r="D214" s="59" t="s">
        <v>292</v>
      </c>
      <c r="E214" t="s">
        <v>363</v>
      </c>
      <c r="F214" t="s">
        <v>421</v>
      </c>
    </row>
    <row r="215" spans="1:6">
      <c r="A215" t="s">
        <v>636</v>
      </c>
      <c r="B215" s="181" t="s">
        <v>111</v>
      </c>
      <c r="C215" s="59" t="s">
        <v>63</v>
      </c>
      <c r="D215" s="59" t="s">
        <v>292</v>
      </c>
      <c r="E215" t="s">
        <v>366</v>
      </c>
      <c r="F215" t="s">
        <v>421</v>
      </c>
    </row>
    <row r="216" spans="1:6">
      <c r="A216" t="s">
        <v>637</v>
      </c>
      <c r="B216" s="181" t="s">
        <v>111</v>
      </c>
      <c r="C216" s="59" t="s">
        <v>63</v>
      </c>
      <c r="D216" s="59" t="s">
        <v>292</v>
      </c>
      <c r="E216" t="s">
        <v>367</v>
      </c>
      <c r="F216" t="s">
        <v>421</v>
      </c>
    </row>
    <row r="217" spans="1:6">
      <c r="A217" t="s">
        <v>638</v>
      </c>
      <c r="B217" s="181" t="s">
        <v>111</v>
      </c>
      <c r="C217" s="59" t="s">
        <v>63</v>
      </c>
      <c r="D217" s="59" t="s">
        <v>292</v>
      </c>
      <c r="E217" t="s">
        <v>368</v>
      </c>
      <c r="F217" t="s">
        <v>421</v>
      </c>
    </row>
    <row r="218" spans="1:6">
      <c r="A218" t="s">
        <v>639</v>
      </c>
      <c r="B218" s="181" t="s">
        <v>111</v>
      </c>
      <c r="C218" s="59" t="s">
        <v>63</v>
      </c>
      <c r="D218" s="59" t="s">
        <v>292</v>
      </c>
      <c r="E218" t="s">
        <v>369</v>
      </c>
      <c r="F218" t="s">
        <v>421</v>
      </c>
    </row>
    <row r="219" spans="1:6">
      <c r="A219" t="s">
        <v>640</v>
      </c>
      <c r="B219" s="181" t="s">
        <v>111</v>
      </c>
      <c r="C219" s="59" t="s">
        <v>63</v>
      </c>
      <c r="D219" s="59" t="s">
        <v>292</v>
      </c>
      <c r="E219" t="s">
        <v>370</v>
      </c>
      <c r="F219" t="s">
        <v>421</v>
      </c>
    </row>
    <row r="220" spans="1:6">
      <c r="A220" t="s">
        <v>641</v>
      </c>
      <c r="B220" s="181" t="s">
        <v>111</v>
      </c>
      <c r="C220" s="59" t="s">
        <v>63</v>
      </c>
      <c r="D220" s="59" t="s">
        <v>292</v>
      </c>
      <c r="E220" t="s">
        <v>371</v>
      </c>
      <c r="F220" t="s">
        <v>421</v>
      </c>
    </row>
    <row r="221" spans="1:6">
      <c r="A221" t="s">
        <v>642</v>
      </c>
      <c r="B221" s="181" t="s">
        <v>111</v>
      </c>
      <c r="C221" s="59" t="s">
        <v>63</v>
      </c>
      <c r="D221" s="59" t="s">
        <v>292</v>
      </c>
      <c r="E221" t="s">
        <v>372</v>
      </c>
      <c r="F221" t="s">
        <v>421</v>
      </c>
    </row>
    <row r="222" spans="1:6">
      <c r="A222" t="s">
        <v>643</v>
      </c>
      <c r="B222" s="181" t="s">
        <v>111</v>
      </c>
      <c r="C222" s="59" t="s">
        <v>63</v>
      </c>
      <c r="D222" s="59" t="s">
        <v>292</v>
      </c>
      <c r="E222" t="s">
        <v>373</v>
      </c>
      <c r="F222" t="s">
        <v>421</v>
      </c>
    </row>
    <row r="223" spans="1:6">
      <c r="A223" t="s">
        <v>644</v>
      </c>
      <c r="B223" s="181" t="s">
        <v>111</v>
      </c>
      <c r="C223" s="59" t="s">
        <v>63</v>
      </c>
      <c r="D223" s="59" t="s">
        <v>292</v>
      </c>
      <c r="E223" t="s">
        <v>375</v>
      </c>
      <c r="F223" t="s">
        <v>421</v>
      </c>
    </row>
    <row r="224" spans="1:6">
      <c r="A224" t="s">
        <v>645</v>
      </c>
      <c r="B224" s="181" t="s">
        <v>110</v>
      </c>
      <c r="C224" s="139" t="s">
        <v>62</v>
      </c>
      <c r="D224" s="139" t="s">
        <v>291</v>
      </c>
      <c r="E224" t="s">
        <v>376</v>
      </c>
      <c r="F224" t="s">
        <v>421</v>
      </c>
    </row>
    <row r="225" spans="1:6">
      <c r="A225" t="s">
        <v>646</v>
      </c>
      <c r="B225" s="181" t="s">
        <v>110</v>
      </c>
      <c r="C225" s="139" t="s">
        <v>62</v>
      </c>
      <c r="D225" s="139" t="s">
        <v>291</v>
      </c>
      <c r="E225" t="s">
        <v>377</v>
      </c>
      <c r="F225" t="s">
        <v>421</v>
      </c>
    </row>
    <row r="226" spans="1:6">
      <c r="A226" t="s">
        <v>647</v>
      </c>
      <c r="B226" s="181" t="s">
        <v>110</v>
      </c>
      <c r="C226" s="139" t="s">
        <v>62</v>
      </c>
      <c r="D226" s="139" t="s">
        <v>291</v>
      </c>
      <c r="E226" t="s">
        <v>398</v>
      </c>
      <c r="F226" t="s">
        <v>421</v>
      </c>
    </row>
    <row r="227" spans="1:6">
      <c r="A227" t="s">
        <v>648</v>
      </c>
      <c r="B227" s="181" t="s">
        <v>110</v>
      </c>
      <c r="C227" s="139" t="s">
        <v>62</v>
      </c>
      <c r="D227" s="139" t="s">
        <v>291</v>
      </c>
      <c r="E227" t="s">
        <v>93</v>
      </c>
      <c r="F227" t="s">
        <v>421</v>
      </c>
    </row>
    <row r="228" spans="1:6">
      <c r="A228" t="s">
        <v>649</v>
      </c>
      <c r="B228" s="181" t="s">
        <v>110</v>
      </c>
      <c r="C228" s="139" t="s">
        <v>62</v>
      </c>
      <c r="D228" s="139" t="s">
        <v>291</v>
      </c>
      <c r="E228" t="s">
        <v>94</v>
      </c>
      <c r="F228" t="s">
        <v>421</v>
      </c>
    </row>
    <row r="229" spans="1:6">
      <c r="A229" t="s">
        <v>650</v>
      </c>
      <c r="B229" s="181" t="s">
        <v>111</v>
      </c>
      <c r="C229" s="59" t="s">
        <v>63</v>
      </c>
      <c r="D229" s="59" t="s">
        <v>292</v>
      </c>
      <c r="E229" t="s">
        <v>37</v>
      </c>
      <c r="F229" t="s">
        <v>421</v>
      </c>
    </row>
    <row r="230" spans="1:6">
      <c r="A230" t="s">
        <v>651</v>
      </c>
      <c r="B230" s="181" t="s">
        <v>111</v>
      </c>
      <c r="C230" s="59" t="s">
        <v>63</v>
      </c>
      <c r="D230" s="59" t="s">
        <v>292</v>
      </c>
      <c r="E230" t="s">
        <v>126</v>
      </c>
      <c r="F230" t="s">
        <v>421</v>
      </c>
    </row>
    <row r="231" spans="1:6">
      <c r="A231" t="s">
        <v>652</v>
      </c>
      <c r="B231" s="181" t="s">
        <v>111</v>
      </c>
      <c r="C231" s="59" t="s">
        <v>63</v>
      </c>
      <c r="D231" s="59" t="s">
        <v>292</v>
      </c>
      <c r="E231" t="s">
        <v>399</v>
      </c>
      <c r="F231" t="s">
        <v>421</v>
      </c>
    </row>
    <row r="232" spans="1:6">
      <c r="A232" t="s">
        <v>653</v>
      </c>
      <c r="B232" s="181" t="s">
        <v>110</v>
      </c>
      <c r="C232" s="139" t="s">
        <v>62</v>
      </c>
      <c r="D232" s="139" t="s">
        <v>291</v>
      </c>
      <c r="E232" t="s">
        <v>42</v>
      </c>
      <c r="F232" t="s">
        <v>421</v>
      </c>
    </row>
    <row r="233" spans="1:6">
      <c r="A233" t="s">
        <v>654</v>
      </c>
      <c r="B233" s="181" t="s">
        <v>112</v>
      </c>
      <c r="C233" s="59" t="s">
        <v>64</v>
      </c>
      <c r="D233" s="59" t="s">
        <v>293</v>
      </c>
      <c r="E233" t="s">
        <v>338</v>
      </c>
      <c r="F233" t="s">
        <v>422</v>
      </c>
    </row>
    <row r="234" spans="1:6">
      <c r="A234" t="s">
        <v>655</v>
      </c>
      <c r="B234" s="181" t="s">
        <v>112</v>
      </c>
      <c r="C234" s="59" t="s">
        <v>64</v>
      </c>
      <c r="D234" s="59" t="s">
        <v>293</v>
      </c>
      <c r="E234" t="s">
        <v>339</v>
      </c>
      <c r="F234" t="s">
        <v>422</v>
      </c>
    </row>
    <row r="235" spans="1:6">
      <c r="A235" t="s">
        <v>656</v>
      </c>
      <c r="B235" s="181" t="s">
        <v>112</v>
      </c>
      <c r="C235" s="59" t="s">
        <v>64</v>
      </c>
      <c r="D235" s="59" t="s">
        <v>293</v>
      </c>
      <c r="E235" t="s">
        <v>340</v>
      </c>
      <c r="F235" t="s">
        <v>422</v>
      </c>
    </row>
    <row r="236" spans="1:6">
      <c r="A236" t="s">
        <v>657</v>
      </c>
      <c r="B236" s="181" t="s">
        <v>112</v>
      </c>
      <c r="C236" s="59" t="s">
        <v>64</v>
      </c>
      <c r="D236" s="59" t="s">
        <v>293</v>
      </c>
      <c r="E236" t="s">
        <v>371</v>
      </c>
      <c r="F236" t="s">
        <v>422</v>
      </c>
    </row>
    <row r="237" spans="1:6">
      <c r="A237" t="s">
        <v>658</v>
      </c>
      <c r="B237" s="181" t="s">
        <v>111</v>
      </c>
      <c r="C237" s="59" t="s">
        <v>63</v>
      </c>
      <c r="D237" s="59" t="s">
        <v>292</v>
      </c>
      <c r="E237" t="s">
        <v>399</v>
      </c>
      <c r="F237" t="s">
        <v>422</v>
      </c>
    </row>
    <row r="238" spans="1:6">
      <c r="A238" t="s">
        <v>659</v>
      </c>
      <c r="B238" s="181" t="s">
        <v>111</v>
      </c>
      <c r="C238" s="59" t="s">
        <v>63</v>
      </c>
      <c r="D238" s="59" t="s">
        <v>292</v>
      </c>
    </row>
    <row r="239" spans="1:6">
      <c r="A239" t="s">
        <v>660</v>
      </c>
      <c r="B239" s="181" t="s">
        <v>111</v>
      </c>
      <c r="C239" s="59" t="s">
        <v>63</v>
      </c>
      <c r="D239" s="59" t="s">
        <v>292</v>
      </c>
    </row>
    <row r="240" spans="1:6">
      <c r="A240" t="s">
        <v>661</v>
      </c>
      <c r="B240" s="181" t="s">
        <v>111</v>
      </c>
      <c r="C240" s="59" t="s">
        <v>63</v>
      </c>
      <c r="D240" s="59" t="s">
        <v>292</v>
      </c>
    </row>
    <row r="241" spans="1:4">
      <c r="A241" t="s">
        <v>662</v>
      </c>
      <c r="B241" s="181" t="s">
        <v>111</v>
      </c>
      <c r="C241" s="59" t="s">
        <v>63</v>
      </c>
      <c r="D241" s="59" t="s">
        <v>292</v>
      </c>
    </row>
    <row r="242" spans="1:4">
      <c r="A242" t="s">
        <v>663</v>
      </c>
      <c r="B242" s="181" t="s">
        <v>111</v>
      </c>
      <c r="C242" s="59" t="s">
        <v>63</v>
      </c>
      <c r="D242" s="59" t="s">
        <v>292</v>
      </c>
    </row>
    <row r="243" spans="1:4">
      <c r="A243" t="s">
        <v>664</v>
      </c>
      <c r="B243" s="181" t="s">
        <v>111</v>
      </c>
      <c r="C243" s="59" t="s">
        <v>63</v>
      </c>
      <c r="D243" s="59" t="s">
        <v>292</v>
      </c>
    </row>
    <row r="244" spans="1:4">
      <c r="A244" t="s">
        <v>665</v>
      </c>
      <c r="B244" s="181" t="s">
        <v>111</v>
      </c>
      <c r="C244" s="59" t="s">
        <v>63</v>
      </c>
      <c r="D244" s="59" t="s">
        <v>292</v>
      </c>
    </row>
    <row r="245" spans="1:4">
      <c r="A245" t="s">
        <v>666</v>
      </c>
      <c r="B245" s="181" t="s">
        <v>111</v>
      </c>
      <c r="C245" s="59" t="s">
        <v>63</v>
      </c>
      <c r="D245" s="59" t="s">
        <v>292</v>
      </c>
    </row>
    <row r="246" spans="1:4">
      <c r="A246" t="s">
        <v>667</v>
      </c>
      <c r="B246" s="181" t="s">
        <v>110</v>
      </c>
      <c r="C246" s="139" t="s">
        <v>62</v>
      </c>
      <c r="D246" s="139" t="s">
        <v>291</v>
      </c>
    </row>
    <row r="247" spans="1:4">
      <c r="A247" t="s">
        <v>668</v>
      </c>
      <c r="B247" s="181" t="s">
        <v>112</v>
      </c>
      <c r="C247" s="59" t="s">
        <v>64</v>
      </c>
      <c r="D247" s="59" t="s">
        <v>293</v>
      </c>
    </row>
    <row r="248" spans="1:4">
      <c r="A248" t="s">
        <v>669</v>
      </c>
      <c r="B248" s="181" t="s">
        <v>112</v>
      </c>
      <c r="C248" s="59" t="s">
        <v>64</v>
      </c>
      <c r="D248" s="59" t="s">
        <v>293</v>
      </c>
    </row>
    <row r="249" spans="1:4">
      <c r="A249" t="s">
        <v>670</v>
      </c>
      <c r="B249" s="181" t="s">
        <v>112</v>
      </c>
      <c r="C249" s="59" t="s">
        <v>64</v>
      </c>
      <c r="D249" s="59" t="s">
        <v>293</v>
      </c>
    </row>
    <row r="250" spans="1:4">
      <c r="A250" t="s">
        <v>671</v>
      </c>
      <c r="B250" s="181" t="s">
        <v>112</v>
      </c>
      <c r="C250" s="59" t="s">
        <v>64</v>
      </c>
      <c r="D250" s="59" t="s">
        <v>293</v>
      </c>
    </row>
    <row r="251" spans="1:4">
      <c r="A251" t="s">
        <v>672</v>
      </c>
      <c r="B251" s="181" t="s">
        <v>112</v>
      </c>
      <c r="C251" s="59" t="s">
        <v>64</v>
      </c>
      <c r="D251" s="59" t="s">
        <v>293</v>
      </c>
    </row>
    <row r="252" spans="1:4">
      <c r="A252" t="s">
        <v>673</v>
      </c>
      <c r="B252" s="181" t="s">
        <v>112</v>
      </c>
      <c r="C252" s="59" t="s">
        <v>64</v>
      </c>
      <c r="D252" s="59" t="s">
        <v>293</v>
      </c>
    </row>
    <row r="253" spans="1:4">
      <c r="A253" t="s">
        <v>674</v>
      </c>
      <c r="B253" s="181" t="s">
        <v>112</v>
      </c>
      <c r="C253" s="59" t="s">
        <v>64</v>
      </c>
      <c r="D253" s="59" t="s">
        <v>293</v>
      </c>
    </row>
    <row r="254" spans="1:4">
      <c r="A254" t="s">
        <v>675</v>
      </c>
      <c r="B254" s="181" t="s">
        <v>112</v>
      </c>
      <c r="C254" s="59" t="s">
        <v>64</v>
      </c>
      <c r="D254" s="59" t="s">
        <v>293</v>
      </c>
    </row>
    <row r="255" spans="1:4">
      <c r="A255" t="s">
        <v>676</v>
      </c>
      <c r="B255" t="s">
        <v>705</v>
      </c>
    </row>
    <row r="256" spans="1:4">
      <c r="A256" t="s">
        <v>677</v>
      </c>
      <c r="B256" s="181" t="s">
        <v>112</v>
      </c>
      <c r="C256" s="59" t="s">
        <v>64</v>
      </c>
      <c r="D256" s="59" t="s">
        <v>293</v>
      </c>
    </row>
    <row r="257" spans="1:4">
      <c r="A257" t="s">
        <v>678</v>
      </c>
      <c r="B257" s="181" t="s">
        <v>112</v>
      </c>
      <c r="C257" s="59" t="s">
        <v>64</v>
      </c>
      <c r="D257" s="59" t="s">
        <v>293</v>
      </c>
    </row>
    <row r="258" spans="1:4">
      <c r="A258" t="s">
        <v>679</v>
      </c>
      <c r="B258" s="181" t="s">
        <v>112</v>
      </c>
      <c r="C258" s="59" t="s">
        <v>64</v>
      </c>
      <c r="D258" s="59" t="s">
        <v>293</v>
      </c>
    </row>
    <row r="259" spans="1:4">
      <c r="A259" t="s">
        <v>680</v>
      </c>
      <c r="B259" s="181" t="s">
        <v>112</v>
      </c>
      <c r="C259" s="59" t="s">
        <v>64</v>
      </c>
      <c r="D259" s="59" t="s">
        <v>293</v>
      </c>
    </row>
    <row r="260" spans="1:4">
      <c r="A260" t="s">
        <v>681</v>
      </c>
      <c r="B260" s="181" t="s">
        <v>112</v>
      </c>
      <c r="C260" s="59" t="s">
        <v>64</v>
      </c>
      <c r="D260" s="59" t="s">
        <v>293</v>
      </c>
    </row>
    <row r="261" spans="1:4">
      <c r="A261" t="s">
        <v>682</v>
      </c>
      <c r="B261" s="181" t="s">
        <v>112</v>
      </c>
      <c r="C261" s="59" t="s">
        <v>64</v>
      </c>
      <c r="D261" s="59" t="s">
        <v>293</v>
      </c>
    </row>
    <row r="262" spans="1:4">
      <c r="A262" t="s">
        <v>683</v>
      </c>
      <c r="B262" s="181" t="s">
        <v>112</v>
      </c>
      <c r="C262" s="59" t="s">
        <v>64</v>
      </c>
      <c r="D262" s="59" t="s">
        <v>293</v>
      </c>
    </row>
    <row r="263" spans="1:4">
      <c r="A263" t="s">
        <v>684</v>
      </c>
      <c r="B263" s="181" t="s">
        <v>111</v>
      </c>
      <c r="C263" s="59" t="s">
        <v>63</v>
      </c>
      <c r="D263" s="59" t="s">
        <v>292</v>
      </c>
    </row>
    <row r="264" spans="1:4">
      <c r="A264" t="s">
        <v>685</v>
      </c>
      <c r="B264" s="181" t="s">
        <v>112</v>
      </c>
      <c r="C264" s="59" t="s">
        <v>64</v>
      </c>
      <c r="D264" s="59" t="s">
        <v>293</v>
      </c>
    </row>
    <row r="265" spans="1:4">
      <c r="A265" t="s">
        <v>686</v>
      </c>
      <c r="B265" s="181" t="s">
        <v>110</v>
      </c>
      <c r="C265" s="139" t="s">
        <v>62</v>
      </c>
      <c r="D265" s="139" t="s">
        <v>291</v>
      </c>
    </row>
    <row r="266" spans="1:4">
      <c r="A266" t="s">
        <v>687</v>
      </c>
      <c r="B266" s="181" t="s">
        <v>110</v>
      </c>
      <c r="C266" s="139" t="s">
        <v>62</v>
      </c>
      <c r="D266" s="139" t="s">
        <v>291</v>
      </c>
    </row>
    <row r="267" spans="1:4">
      <c r="A267" t="s">
        <v>688</v>
      </c>
      <c r="B267" s="181" t="s">
        <v>112</v>
      </c>
      <c r="C267" s="59" t="s">
        <v>64</v>
      </c>
      <c r="D267" s="59" t="s">
        <v>293</v>
      </c>
    </row>
    <row r="268" spans="1:4">
      <c r="A268" t="s">
        <v>689</v>
      </c>
      <c r="B268" s="181" t="s">
        <v>112</v>
      </c>
      <c r="C268" s="59" t="s">
        <v>64</v>
      </c>
      <c r="D268" s="59" t="s">
        <v>293</v>
      </c>
    </row>
    <row r="269" spans="1:4">
      <c r="A269" t="s">
        <v>690</v>
      </c>
      <c r="B269" s="181" t="s">
        <v>112</v>
      </c>
      <c r="C269" s="59" t="s">
        <v>64</v>
      </c>
      <c r="D269" s="59" t="s">
        <v>293</v>
      </c>
    </row>
    <row r="270" spans="1:4">
      <c r="A270" t="s">
        <v>691</v>
      </c>
      <c r="B270" t="s">
        <v>708</v>
      </c>
    </row>
    <row r="271" spans="1:4">
      <c r="A271" t="s">
        <v>692</v>
      </c>
      <c r="B271" s="181" t="s">
        <v>112</v>
      </c>
      <c r="C271" s="59" t="s">
        <v>64</v>
      </c>
      <c r="D271" s="59" t="s">
        <v>293</v>
      </c>
    </row>
    <row r="272" spans="1:4">
      <c r="A272" t="s">
        <v>693</v>
      </c>
      <c r="B272" s="181" t="s">
        <v>111</v>
      </c>
      <c r="C272" s="59" t="s">
        <v>63</v>
      </c>
      <c r="D272" s="59" t="s">
        <v>292</v>
      </c>
    </row>
    <row r="273" spans="1:4">
      <c r="A273" t="s">
        <v>694</v>
      </c>
      <c r="B273" s="181" t="s">
        <v>110</v>
      </c>
      <c r="C273" s="139" t="s">
        <v>62</v>
      </c>
      <c r="D273" s="139" t="s">
        <v>291</v>
      </c>
    </row>
    <row r="274" spans="1:4">
      <c r="A274" t="s">
        <v>695</v>
      </c>
      <c r="B274" s="181" t="s">
        <v>112</v>
      </c>
      <c r="C274" s="59" t="s">
        <v>64</v>
      </c>
      <c r="D274" s="59" t="s">
        <v>293</v>
      </c>
    </row>
    <row r="275" spans="1:4">
      <c r="A275" t="s">
        <v>696</v>
      </c>
      <c r="B275" s="181" t="s">
        <v>112</v>
      </c>
      <c r="C275" s="59" t="s">
        <v>64</v>
      </c>
      <c r="D275" s="59" t="s">
        <v>293</v>
      </c>
    </row>
  </sheetData>
  <autoFilter ref="A1:AC1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55"/>
  <sheetViews>
    <sheetView topLeftCell="A19" workbookViewId="0">
      <selection activeCell="A23" sqref="A23"/>
    </sheetView>
  </sheetViews>
  <sheetFormatPr baseColWidth="10" defaultRowHeight="12.75"/>
  <cols>
    <col min="1" max="1" width="19.6640625" bestFit="1" customWidth="1"/>
    <col min="2" max="2" width="37.6640625" bestFit="1" customWidth="1"/>
  </cols>
  <sheetData>
    <row r="2" spans="1:2">
      <c r="A2" s="182" t="s">
        <v>697</v>
      </c>
      <c r="B2" s="182" t="s">
        <v>787</v>
      </c>
    </row>
    <row r="3" spans="1:2">
      <c r="A3" t="s">
        <v>730</v>
      </c>
      <c r="B3" t="s">
        <v>702</v>
      </c>
    </row>
    <row r="4" spans="1:2">
      <c r="A4" t="s">
        <v>731</v>
      </c>
      <c r="B4" t="s">
        <v>703</v>
      </c>
    </row>
    <row r="5" spans="1:2">
      <c r="A5" t="s">
        <v>428</v>
      </c>
      <c r="B5" t="s">
        <v>704</v>
      </c>
    </row>
    <row r="6" spans="1:2">
      <c r="A6" t="s">
        <v>470</v>
      </c>
      <c r="B6" t="s">
        <v>705</v>
      </c>
    </row>
    <row r="7" spans="1:2">
      <c r="A7" t="s">
        <v>732</v>
      </c>
      <c r="B7" t="s">
        <v>707</v>
      </c>
    </row>
    <row r="8" spans="1:2">
      <c r="A8" t="s">
        <v>732</v>
      </c>
      <c r="B8" t="s">
        <v>706</v>
      </c>
    </row>
    <row r="9" spans="1:2">
      <c r="A9" t="s">
        <v>733</v>
      </c>
      <c r="B9" t="s">
        <v>702</v>
      </c>
    </row>
    <row r="10" spans="1:2">
      <c r="A10" t="s">
        <v>733</v>
      </c>
      <c r="B10" t="s">
        <v>704</v>
      </c>
    </row>
    <row r="11" spans="1:2">
      <c r="A11" t="s">
        <v>733</v>
      </c>
      <c r="B11" t="s">
        <v>703</v>
      </c>
    </row>
    <row r="12" spans="1:2">
      <c r="A12" t="s">
        <v>734</v>
      </c>
      <c r="B12" t="s">
        <v>706</v>
      </c>
    </row>
    <row r="13" spans="1:2">
      <c r="A13" t="s">
        <v>734</v>
      </c>
      <c r="B13" t="s">
        <v>702</v>
      </c>
    </row>
    <row r="14" spans="1:2">
      <c r="A14" t="s">
        <v>734</v>
      </c>
      <c r="B14" t="s">
        <v>702</v>
      </c>
    </row>
    <row r="15" spans="1:2">
      <c r="A15" t="s">
        <v>734</v>
      </c>
      <c r="B15" t="s">
        <v>704</v>
      </c>
    </row>
    <row r="16" spans="1:2">
      <c r="A16" t="s">
        <v>735</v>
      </c>
      <c r="B16" t="s">
        <v>704</v>
      </c>
    </row>
    <row r="17" spans="1:2">
      <c r="A17" t="s">
        <v>735</v>
      </c>
      <c r="B17" t="s">
        <v>703</v>
      </c>
    </row>
    <row r="18" spans="1:2">
      <c r="A18" t="s">
        <v>735</v>
      </c>
      <c r="B18" t="s">
        <v>708</v>
      </c>
    </row>
    <row r="19" spans="1:2">
      <c r="A19" t="s">
        <v>509</v>
      </c>
      <c r="B19" t="s">
        <v>703</v>
      </c>
    </row>
    <row r="20" spans="1:2">
      <c r="A20" t="s">
        <v>736</v>
      </c>
      <c r="B20" t="s">
        <v>706</v>
      </c>
    </row>
    <row r="21" spans="1:2">
      <c r="A21" t="s">
        <v>737</v>
      </c>
      <c r="B21" t="s">
        <v>702</v>
      </c>
    </row>
    <row r="22" spans="1:2">
      <c r="A22" t="s">
        <v>573</v>
      </c>
      <c r="B22" t="s">
        <v>703</v>
      </c>
    </row>
    <row r="23" spans="1:2">
      <c r="A23" t="s">
        <v>574</v>
      </c>
      <c r="B23" t="s">
        <v>707</v>
      </c>
    </row>
    <row r="24" spans="1:2">
      <c r="A24" t="s">
        <v>574</v>
      </c>
      <c r="B24" t="s">
        <v>706</v>
      </c>
    </row>
    <row r="25" spans="1:2">
      <c r="A25" t="s">
        <v>739</v>
      </c>
      <c r="B25" t="s">
        <v>704</v>
      </c>
    </row>
    <row r="26" spans="1:2">
      <c r="A26" t="s">
        <v>738</v>
      </c>
      <c r="B26" t="s">
        <v>702</v>
      </c>
    </row>
    <row r="27" spans="1:2">
      <c r="A27" t="s">
        <v>606</v>
      </c>
      <c r="B27" t="s">
        <v>703</v>
      </c>
    </row>
    <row r="28" spans="1:2">
      <c r="A28" t="s">
        <v>740</v>
      </c>
      <c r="B28" t="s">
        <v>703</v>
      </c>
    </row>
    <row r="29" spans="1:2">
      <c r="A29" t="s">
        <v>608</v>
      </c>
      <c r="B29" t="s">
        <v>704</v>
      </c>
    </row>
    <row r="30" spans="1:2">
      <c r="A30" t="s">
        <v>741</v>
      </c>
      <c r="B30" t="s">
        <v>702</v>
      </c>
    </row>
    <row r="31" spans="1:2">
      <c r="A31" t="s">
        <v>742</v>
      </c>
      <c r="B31" t="s">
        <v>702</v>
      </c>
    </row>
    <row r="32" spans="1:2">
      <c r="A32" t="s">
        <v>644</v>
      </c>
      <c r="B32" t="s">
        <v>704</v>
      </c>
    </row>
    <row r="33" spans="1:2">
      <c r="A33" t="s">
        <v>743</v>
      </c>
      <c r="B33" t="s">
        <v>707</v>
      </c>
    </row>
    <row r="34" spans="1:2">
      <c r="A34" t="s">
        <v>744</v>
      </c>
      <c r="B34" t="s">
        <v>706</v>
      </c>
    </row>
    <row r="35" spans="1:2">
      <c r="A35" t="s">
        <v>745</v>
      </c>
      <c r="B35" t="s">
        <v>702</v>
      </c>
    </row>
    <row r="36" spans="1:2">
      <c r="A36" t="s">
        <v>746</v>
      </c>
      <c r="B36" t="s">
        <v>706</v>
      </c>
    </row>
    <row r="37" spans="1:2">
      <c r="A37" t="s">
        <v>654</v>
      </c>
      <c r="B37" t="s">
        <v>703</v>
      </c>
    </row>
    <row r="38" spans="1:2">
      <c r="A38" t="s">
        <v>747</v>
      </c>
      <c r="B38" t="s">
        <v>702</v>
      </c>
    </row>
    <row r="39" spans="1:2">
      <c r="A39" t="s">
        <v>748</v>
      </c>
      <c r="B39" t="s">
        <v>706</v>
      </c>
    </row>
    <row r="40" spans="1:2">
      <c r="A40" t="s">
        <v>748</v>
      </c>
      <c r="B40" t="s">
        <v>702</v>
      </c>
    </row>
    <row r="41" spans="1:2">
      <c r="A41" t="s">
        <v>668</v>
      </c>
      <c r="B41" t="s">
        <v>703</v>
      </c>
    </row>
    <row r="42" spans="1:2">
      <c r="A42" t="s">
        <v>672</v>
      </c>
      <c r="B42" t="s">
        <v>703</v>
      </c>
    </row>
    <row r="43" spans="1:2">
      <c r="A43" t="s">
        <v>676</v>
      </c>
      <c r="B43" t="s">
        <v>705</v>
      </c>
    </row>
    <row r="44" spans="1:2">
      <c r="A44" t="s">
        <v>749</v>
      </c>
      <c r="B44" t="s">
        <v>704</v>
      </c>
    </row>
    <row r="45" spans="1:2">
      <c r="A45" t="s">
        <v>750</v>
      </c>
      <c r="B45" t="s">
        <v>704</v>
      </c>
    </row>
    <row r="46" spans="1:2">
      <c r="A46" t="s">
        <v>685</v>
      </c>
      <c r="B46" t="s">
        <v>703</v>
      </c>
    </row>
    <row r="47" spans="1:2">
      <c r="A47" t="s">
        <v>751</v>
      </c>
      <c r="B47" t="s">
        <v>707</v>
      </c>
    </row>
    <row r="48" spans="1:2">
      <c r="A48" t="s">
        <v>752</v>
      </c>
      <c r="B48" t="s">
        <v>706</v>
      </c>
    </row>
    <row r="49" spans="1:2">
      <c r="A49" t="s">
        <v>753</v>
      </c>
      <c r="B49" t="s">
        <v>704</v>
      </c>
    </row>
    <row r="50" spans="1:2">
      <c r="A50" t="s">
        <v>754</v>
      </c>
      <c r="B50" t="s">
        <v>708</v>
      </c>
    </row>
    <row r="51" spans="1:2">
      <c r="A51" t="s">
        <v>755</v>
      </c>
      <c r="B51" t="s">
        <v>703</v>
      </c>
    </row>
    <row r="52" spans="1:2">
      <c r="A52" t="s">
        <v>756</v>
      </c>
      <c r="B52" t="s">
        <v>706</v>
      </c>
    </row>
    <row r="53" spans="1:2">
      <c r="A53" t="s">
        <v>756</v>
      </c>
      <c r="B53" t="s">
        <v>702</v>
      </c>
    </row>
    <row r="54" spans="1:2">
      <c r="A54" t="s">
        <v>183</v>
      </c>
      <c r="B54" t="s">
        <v>703</v>
      </c>
    </row>
    <row r="55" spans="1:2">
      <c r="A55" t="s">
        <v>757</v>
      </c>
      <c r="B55" t="s">
        <v>703</v>
      </c>
    </row>
  </sheetData>
  <sheetProtection algorithmName="SHA-512" hashValue="OCIUJfsBMriyy8/uiPtEoZB5rhSm/vWRZlnL7bxay9xcxBV8TPln3Spr/JOKEgecgqvtsTZGkVFQuNDyGv8y6Q==" saltValue="MWM9CviXKwlgAJYX5lt15A==" spinCount="100000" sheet="1"/>
  <autoFilter ref="A2:B55" xr:uid="{00000000-0009-0000-0000-000004000000}"/>
  <conditionalFormatting sqref="A1:A12 A14:A65536">
    <cfRule type="duplicateValues" dxfId="1" priority="2" stopIfTrue="1"/>
  </conditionalFormatting>
  <conditionalFormatting sqref="A13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A1:P275"/>
  <sheetViews>
    <sheetView workbookViewId="0">
      <selection activeCell="E1" sqref="E1:E1048576"/>
    </sheetView>
  </sheetViews>
  <sheetFormatPr baseColWidth="10" defaultRowHeight="12.75"/>
  <cols>
    <col min="1" max="1" width="12" style="50"/>
    <col min="2" max="2" width="7" style="59" bestFit="1" customWidth="1"/>
    <col min="3" max="3" width="7" style="59" customWidth="1"/>
    <col min="4" max="4" width="50.6640625" style="56" bestFit="1" customWidth="1"/>
    <col min="5" max="5" width="30.6640625" style="50" customWidth="1"/>
    <col min="6" max="6" width="20.33203125" style="50" customWidth="1"/>
    <col min="7" max="7" width="3.1640625" style="59" bestFit="1" customWidth="1"/>
    <col min="8" max="8" width="3.1640625" style="59" customWidth="1"/>
    <col min="9" max="10" width="12" style="50"/>
    <col min="11" max="11" width="11.5" style="50" customWidth="1"/>
    <col min="12" max="12" width="3.6640625" style="146" bestFit="1" customWidth="1"/>
    <col min="13" max="13" width="13.5" style="50" bestFit="1" customWidth="1"/>
    <col min="14" max="14" width="3.6640625" style="50" bestFit="1" customWidth="1"/>
    <col min="15" max="16384" width="12" style="50"/>
  </cols>
  <sheetData>
    <row r="1" spans="1:16" s="48" customFormat="1" ht="13.5" thickBot="1">
      <c r="A1" s="60" t="s">
        <v>154</v>
      </c>
      <c r="B1" s="57"/>
      <c r="C1" s="57"/>
      <c r="D1" s="172" t="s">
        <v>169</v>
      </c>
      <c r="E1" s="49" t="s">
        <v>18</v>
      </c>
      <c r="F1" s="51" t="s">
        <v>109</v>
      </c>
      <c r="G1" s="138"/>
      <c r="H1" s="138"/>
      <c r="I1" s="49" t="s">
        <v>123</v>
      </c>
      <c r="J1" s="52" t="s">
        <v>122</v>
      </c>
      <c r="K1" s="52" t="s">
        <v>61</v>
      </c>
      <c r="L1" s="140"/>
      <c r="M1" s="49" t="s">
        <v>174</v>
      </c>
      <c r="N1" s="49"/>
      <c r="O1" s="49" t="s">
        <v>290</v>
      </c>
      <c r="P1" s="49" t="s">
        <v>284</v>
      </c>
    </row>
    <row r="2" spans="1:16">
      <c r="A2" s="55" t="s">
        <v>156</v>
      </c>
      <c r="B2" s="58" t="s">
        <v>161</v>
      </c>
      <c r="C2" s="58" t="s">
        <v>161</v>
      </c>
      <c r="D2" s="56" t="s">
        <v>127</v>
      </c>
      <c r="E2" t="s">
        <v>423</v>
      </c>
      <c r="F2" s="181" t="s">
        <v>112</v>
      </c>
      <c r="G2" s="59" t="s">
        <v>64</v>
      </c>
      <c r="H2" s="59" t="s">
        <v>293</v>
      </c>
      <c r="I2" s="54" t="s">
        <v>96</v>
      </c>
      <c r="J2" s="54" t="s">
        <v>49</v>
      </c>
      <c r="K2" s="54">
        <v>31</v>
      </c>
      <c r="L2" s="141" t="s">
        <v>62</v>
      </c>
      <c r="M2" s="147">
        <v>145000</v>
      </c>
      <c r="N2" s="141" t="s">
        <v>62</v>
      </c>
      <c r="O2" s="159">
        <v>500</v>
      </c>
      <c r="P2" s="159" t="s">
        <v>285</v>
      </c>
    </row>
    <row r="3" spans="1:16">
      <c r="A3" s="55" t="s">
        <v>157</v>
      </c>
      <c r="B3" s="58" t="s">
        <v>162</v>
      </c>
      <c r="C3" s="58" t="s">
        <v>161</v>
      </c>
      <c r="D3" s="56" t="s">
        <v>92</v>
      </c>
      <c r="E3" t="s">
        <v>424</v>
      </c>
      <c r="F3" s="181" t="s">
        <v>111</v>
      </c>
      <c r="G3" s="59" t="s">
        <v>63</v>
      </c>
      <c r="H3" s="59" t="s">
        <v>292</v>
      </c>
      <c r="I3" s="54" t="s">
        <v>97</v>
      </c>
      <c r="J3" s="54" t="s">
        <v>50</v>
      </c>
      <c r="K3" s="54">
        <f ca="1">IF(((YEAR(NOW())/4)-(INT((YEAR(NOW())/4))))=0,29,28)</f>
        <v>28</v>
      </c>
      <c r="L3" s="141" t="s">
        <v>62</v>
      </c>
      <c r="M3" s="147">
        <v>104000</v>
      </c>
      <c r="N3" s="141" t="s">
        <v>62</v>
      </c>
      <c r="O3" s="159">
        <v>500</v>
      </c>
      <c r="P3" s="159" t="s">
        <v>286</v>
      </c>
    </row>
    <row r="4" spans="1:16">
      <c r="A4" s="55" t="s">
        <v>135</v>
      </c>
      <c r="B4" s="58" t="s">
        <v>163</v>
      </c>
      <c r="C4" s="58" t="s">
        <v>161</v>
      </c>
      <c r="D4" s="56" t="s">
        <v>38</v>
      </c>
      <c r="E4" t="s">
        <v>428</v>
      </c>
      <c r="F4" s="181" t="s">
        <v>112</v>
      </c>
      <c r="G4" s="59" t="s">
        <v>64</v>
      </c>
      <c r="H4" s="59" t="s">
        <v>293</v>
      </c>
      <c r="I4" s="54"/>
      <c r="J4" s="54" t="s">
        <v>51</v>
      </c>
      <c r="K4" s="54">
        <v>31</v>
      </c>
      <c r="L4" s="141" t="s">
        <v>62</v>
      </c>
      <c r="M4" s="147">
        <v>88000</v>
      </c>
      <c r="N4" s="141" t="s">
        <v>62</v>
      </c>
      <c r="O4" s="159">
        <v>449</v>
      </c>
    </row>
    <row r="5" spans="1:16">
      <c r="A5" s="55" t="s">
        <v>158</v>
      </c>
      <c r="B5" s="58" t="s">
        <v>164</v>
      </c>
      <c r="C5" s="58" t="s">
        <v>161</v>
      </c>
      <c r="D5" s="56" t="s">
        <v>153</v>
      </c>
      <c r="E5" t="s">
        <v>470</v>
      </c>
      <c r="F5" s="181" t="s">
        <v>112</v>
      </c>
      <c r="G5" s="59" t="s">
        <v>64</v>
      </c>
      <c r="H5" s="59" t="s">
        <v>293</v>
      </c>
      <c r="J5" s="54" t="s">
        <v>52</v>
      </c>
      <c r="K5" s="54">
        <v>30</v>
      </c>
      <c r="L5" s="141" t="s">
        <v>63</v>
      </c>
      <c r="M5" s="147">
        <v>130000</v>
      </c>
      <c r="N5" s="141" t="s">
        <v>63</v>
      </c>
      <c r="O5" s="159">
        <v>388</v>
      </c>
    </row>
    <row r="6" spans="1:16">
      <c r="A6" s="55" t="s">
        <v>159</v>
      </c>
      <c r="B6" s="58" t="s">
        <v>165</v>
      </c>
      <c r="C6" s="58" t="s">
        <v>161</v>
      </c>
      <c r="D6" s="56" t="s">
        <v>152</v>
      </c>
      <c r="E6" t="s">
        <v>761</v>
      </c>
      <c r="F6" s="181" t="s">
        <v>110</v>
      </c>
      <c r="G6" s="59" t="s">
        <v>62</v>
      </c>
      <c r="H6" s="59" t="s">
        <v>291</v>
      </c>
      <c r="J6" s="54" t="s">
        <v>53</v>
      </c>
      <c r="K6" s="54">
        <v>31</v>
      </c>
      <c r="L6" s="141" t="s">
        <v>63</v>
      </c>
      <c r="M6" s="147">
        <v>91000</v>
      </c>
      <c r="N6" s="141" t="s">
        <v>63</v>
      </c>
      <c r="O6" s="159">
        <v>388</v>
      </c>
    </row>
    <row r="7" spans="1:16">
      <c r="A7" s="55" t="s">
        <v>160</v>
      </c>
      <c r="B7" s="58" t="s">
        <v>166</v>
      </c>
      <c r="C7" s="58" t="s">
        <v>161</v>
      </c>
      <c r="D7" s="56" t="s">
        <v>151</v>
      </c>
      <c r="E7" t="s">
        <v>733</v>
      </c>
      <c r="F7" s="181" t="s">
        <v>112</v>
      </c>
      <c r="G7" s="59" t="s">
        <v>64</v>
      </c>
      <c r="H7" s="59" t="s">
        <v>293</v>
      </c>
      <c r="J7" s="54" t="s">
        <v>54</v>
      </c>
      <c r="K7" s="54">
        <v>30</v>
      </c>
      <c r="L7" s="141" t="s">
        <v>63</v>
      </c>
      <c r="M7" s="147">
        <v>73000</v>
      </c>
      <c r="N7" s="141" t="s">
        <v>63</v>
      </c>
      <c r="O7" s="159">
        <v>358</v>
      </c>
    </row>
    <row r="8" spans="1:16">
      <c r="A8" s="55" t="s">
        <v>125</v>
      </c>
      <c r="B8" s="58" t="s">
        <v>167</v>
      </c>
      <c r="C8" s="58" t="s">
        <v>161</v>
      </c>
      <c r="D8" s="56" t="s">
        <v>150</v>
      </c>
      <c r="E8" t="s">
        <v>478</v>
      </c>
      <c r="F8" s="181" t="s">
        <v>110</v>
      </c>
      <c r="G8" s="59" t="s">
        <v>62</v>
      </c>
      <c r="H8" s="59" t="s">
        <v>291</v>
      </c>
      <c r="J8" s="54" t="s">
        <v>55</v>
      </c>
      <c r="K8" s="54">
        <v>31</v>
      </c>
      <c r="L8" s="141" t="s">
        <v>64</v>
      </c>
      <c r="M8" s="147">
        <v>110000</v>
      </c>
      <c r="N8" s="141" t="s">
        <v>64</v>
      </c>
      <c r="O8" s="159">
        <v>322</v>
      </c>
    </row>
    <row r="9" spans="1:16">
      <c r="A9" s="50" t="s">
        <v>194</v>
      </c>
      <c r="B9" s="59" t="s">
        <v>238</v>
      </c>
      <c r="C9" s="58" t="s">
        <v>161</v>
      </c>
      <c r="D9" s="56" t="s">
        <v>149</v>
      </c>
      <c r="E9" t="s">
        <v>479</v>
      </c>
      <c r="F9" s="181" t="s">
        <v>112</v>
      </c>
      <c r="G9" s="59" t="s">
        <v>64</v>
      </c>
      <c r="H9" s="59" t="s">
        <v>293</v>
      </c>
      <c r="J9" s="54" t="s">
        <v>56</v>
      </c>
      <c r="K9" s="54">
        <v>31</v>
      </c>
      <c r="L9" s="141" t="s">
        <v>64</v>
      </c>
      <c r="M9" s="147">
        <v>76000</v>
      </c>
      <c r="N9" s="141" t="s">
        <v>64</v>
      </c>
      <c r="O9" s="159">
        <v>322</v>
      </c>
    </row>
    <row r="10" spans="1:16">
      <c r="A10" s="50" t="s">
        <v>239</v>
      </c>
      <c r="B10" s="59" t="s">
        <v>240</v>
      </c>
      <c r="C10" s="58" t="s">
        <v>161</v>
      </c>
      <c r="D10" s="56" t="s">
        <v>148</v>
      </c>
      <c r="E10" t="s">
        <v>480</v>
      </c>
      <c r="F10" s="181" t="s">
        <v>111</v>
      </c>
      <c r="G10" s="59" t="s">
        <v>63</v>
      </c>
      <c r="H10" s="59" t="s">
        <v>292</v>
      </c>
      <c r="J10" s="54" t="s">
        <v>57</v>
      </c>
      <c r="K10" s="54">
        <v>30</v>
      </c>
      <c r="L10" s="141" t="s">
        <v>64</v>
      </c>
      <c r="M10" s="147">
        <v>61000</v>
      </c>
      <c r="N10" s="141" t="s">
        <v>64</v>
      </c>
      <c r="O10" s="159">
        <v>300</v>
      </c>
    </row>
    <row r="11" spans="1:16">
      <c r="A11" s="55" t="s">
        <v>170</v>
      </c>
      <c r="B11" s="59" t="s">
        <v>168</v>
      </c>
      <c r="C11" s="58" t="s">
        <v>161</v>
      </c>
      <c r="D11" s="56" t="s">
        <v>43</v>
      </c>
      <c r="E11" t="s">
        <v>735</v>
      </c>
      <c r="F11" s="181" t="s">
        <v>112</v>
      </c>
      <c r="G11" s="59" t="s">
        <v>64</v>
      </c>
      <c r="H11" s="59" t="s">
        <v>293</v>
      </c>
      <c r="J11" s="54" t="s">
        <v>58</v>
      </c>
      <c r="K11" s="54">
        <v>31</v>
      </c>
      <c r="L11" s="142"/>
      <c r="M11" s="50" t="s">
        <v>172</v>
      </c>
      <c r="O11" s="50" t="s">
        <v>172</v>
      </c>
    </row>
    <row r="12" spans="1:16">
      <c r="A12" s="55" t="s">
        <v>269</v>
      </c>
      <c r="B12" s="59" t="s">
        <v>270</v>
      </c>
      <c r="C12" s="58" t="s">
        <v>161</v>
      </c>
      <c r="D12" s="56" t="s">
        <v>147</v>
      </c>
      <c r="E12" t="s">
        <v>509</v>
      </c>
      <c r="F12" s="181" t="s">
        <v>112</v>
      </c>
      <c r="G12" s="59" t="s">
        <v>64</v>
      </c>
      <c r="H12" s="59" t="s">
        <v>293</v>
      </c>
      <c r="J12" s="54" t="s">
        <v>59</v>
      </c>
      <c r="K12" s="54">
        <v>30</v>
      </c>
      <c r="L12" s="142"/>
    </row>
    <row r="13" spans="1:16">
      <c r="A13" s="55"/>
      <c r="C13" s="58" t="s">
        <v>161</v>
      </c>
      <c r="D13" s="56" t="s">
        <v>141</v>
      </c>
      <c r="E13" t="s">
        <v>514</v>
      </c>
      <c r="F13" s="181" t="s">
        <v>110</v>
      </c>
      <c r="G13" s="59" t="s">
        <v>62</v>
      </c>
      <c r="H13" s="59" t="s">
        <v>291</v>
      </c>
      <c r="J13" s="54" t="s">
        <v>60</v>
      </c>
      <c r="K13" s="54">
        <v>31</v>
      </c>
      <c r="L13" s="143"/>
    </row>
    <row r="14" spans="1:16">
      <c r="C14" s="58" t="s">
        <v>161</v>
      </c>
      <c r="D14" s="56" t="s">
        <v>146</v>
      </c>
      <c r="E14" t="s">
        <v>737</v>
      </c>
      <c r="F14" s="181" t="s">
        <v>111</v>
      </c>
      <c r="G14" s="59" t="s">
        <v>63</v>
      </c>
      <c r="H14" s="59" t="s">
        <v>292</v>
      </c>
      <c r="J14" s="54"/>
      <c r="K14" s="54"/>
      <c r="L14" s="143"/>
    </row>
    <row r="15" spans="1:16">
      <c r="C15" s="58" t="s">
        <v>162</v>
      </c>
      <c r="D15" s="56" t="s">
        <v>145</v>
      </c>
      <c r="E15" t="s">
        <v>833</v>
      </c>
      <c r="F15" s="181" t="s">
        <v>110</v>
      </c>
      <c r="G15" s="59" t="s">
        <v>62</v>
      </c>
      <c r="H15" s="59" t="s">
        <v>291</v>
      </c>
      <c r="K15" s="54"/>
      <c r="L15" s="143"/>
    </row>
    <row r="16" spans="1:16">
      <c r="C16" s="58" t="s">
        <v>162</v>
      </c>
      <c r="D16" s="56" t="s">
        <v>91</v>
      </c>
      <c r="E16" t="s">
        <v>586</v>
      </c>
      <c r="F16" s="181" t="s">
        <v>110</v>
      </c>
      <c r="G16" s="59" t="s">
        <v>62</v>
      </c>
      <c r="H16" s="59" t="s">
        <v>291</v>
      </c>
      <c r="K16" s="54"/>
      <c r="L16" s="144"/>
    </row>
    <row r="17" spans="3:12">
      <c r="C17" s="58" t="s">
        <v>162</v>
      </c>
      <c r="D17" s="56" t="s">
        <v>144</v>
      </c>
      <c r="E17" t="s">
        <v>762</v>
      </c>
      <c r="F17" s="181" t="s">
        <v>110</v>
      </c>
      <c r="G17" s="59" t="s">
        <v>62</v>
      </c>
      <c r="H17" s="59" t="s">
        <v>291</v>
      </c>
      <c r="K17" s="54"/>
      <c r="L17" s="144"/>
    </row>
    <row r="18" spans="3:12">
      <c r="C18" s="58" t="s">
        <v>162</v>
      </c>
      <c r="D18" s="56" t="s">
        <v>93</v>
      </c>
      <c r="E18" t="s">
        <v>590</v>
      </c>
      <c r="F18" s="181" t="s">
        <v>110</v>
      </c>
      <c r="G18" s="59" t="s">
        <v>62</v>
      </c>
      <c r="H18" s="59" t="s">
        <v>291</v>
      </c>
      <c r="J18" s="54"/>
      <c r="K18" s="54"/>
      <c r="L18" s="144"/>
    </row>
    <row r="19" spans="3:12" ht="13.5" thickBot="1">
      <c r="C19" s="58" t="s">
        <v>162</v>
      </c>
      <c r="D19" s="56" t="s">
        <v>143</v>
      </c>
      <c r="E19" s="181" t="s">
        <v>603</v>
      </c>
      <c r="F19" s="181" t="s">
        <v>112</v>
      </c>
      <c r="G19" s="59" t="s">
        <v>64</v>
      </c>
      <c r="H19" s="59" t="s">
        <v>293</v>
      </c>
      <c r="J19" s="54"/>
      <c r="K19" s="54"/>
      <c r="L19" s="144"/>
    </row>
    <row r="20" spans="3:12" ht="13.5" thickBot="1">
      <c r="C20" s="58" t="s">
        <v>162</v>
      </c>
      <c r="D20" s="56" t="s">
        <v>142</v>
      </c>
      <c r="E20" s="181" t="s">
        <v>604</v>
      </c>
      <c r="F20" s="181" t="s">
        <v>111</v>
      </c>
      <c r="G20" s="59" t="s">
        <v>63</v>
      </c>
      <c r="H20" s="59" t="s">
        <v>292</v>
      </c>
      <c r="J20" s="54"/>
      <c r="K20" s="54"/>
      <c r="L20" s="145"/>
    </row>
    <row r="21" spans="3:12">
      <c r="C21" s="58" t="s">
        <v>162</v>
      </c>
      <c r="D21" s="56" t="s">
        <v>95</v>
      </c>
      <c r="E21" t="s">
        <v>741</v>
      </c>
      <c r="F21" s="181" t="s">
        <v>111</v>
      </c>
      <c r="G21" s="59" t="s">
        <v>63</v>
      </c>
      <c r="H21" s="59" t="s">
        <v>292</v>
      </c>
      <c r="J21" s="54"/>
      <c r="K21" s="54"/>
      <c r="L21" s="144"/>
    </row>
    <row r="22" spans="3:12">
      <c r="C22" s="58" t="s">
        <v>162</v>
      </c>
      <c r="D22" s="56" t="s">
        <v>141</v>
      </c>
      <c r="E22" t="s">
        <v>644</v>
      </c>
      <c r="F22" s="181" t="s">
        <v>111</v>
      </c>
      <c r="G22" s="59" t="s">
        <v>63</v>
      </c>
      <c r="H22" s="59" t="s">
        <v>292</v>
      </c>
      <c r="J22" s="54"/>
      <c r="K22" s="54"/>
      <c r="L22" s="144"/>
    </row>
    <row r="23" spans="3:12">
      <c r="C23" s="58" t="s">
        <v>162</v>
      </c>
      <c r="D23" s="56" t="s">
        <v>140</v>
      </c>
      <c r="E23" t="s">
        <v>763</v>
      </c>
      <c r="F23" s="181" t="s">
        <v>110</v>
      </c>
      <c r="G23" s="59" t="s">
        <v>62</v>
      </c>
      <c r="H23" s="59" t="s">
        <v>291</v>
      </c>
      <c r="J23" s="54"/>
      <c r="K23" s="54"/>
      <c r="L23" s="144"/>
    </row>
    <row r="24" spans="3:12">
      <c r="C24" s="58" t="s">
        <v>163</v>
      </c>
      <c r="D24" s="56" t="s">
        <v>139</v>
      </c>
      <c r="E24" t="s">
        <v>647</v>
      </c>
      <c r="F24" s="181" t="s">
        <v>110</v>
      </c>
      <c r="G24" s="59" t="s">
        <v>62</v>
      </c>
      <c r="H24" s="59" t="s">
        <v>291</v>
      </c>
      <c r="J24" s="54"/>
      <c r="K24" s="54"/>
      <c r="L24" s="144"/>
    </row>
    <row r="25" spans="3:12">
      <c r="C25" s="58" t="s">
        <v>163</v>
      </c>
      <c r="D25" s="56" t="s">
        <v>138</v>
      </c>
      <c r="E25" t="s">
        <v>788</v>
      </c>
      <c r="F25" s="181" t="s">
        <v>110</v>
      </c>
      <c r="G25" s="59" t="s">
        <v>62</v>
      </c>
      <c r="H25" s="59" t="s">
        <v>291</v>
      </c>
      <c r="J25" s="54"/>
      <c r="K25" s="54"/>
      <c r="L25" s="144"/>
    </row>
    <row r="26" spans="3:12">
      <c r="C26" s="58" t="s">
        <v>163</v>
      </c>
      <c r="D26" s="56" t="s">
        <v>137</v>
      </c>
      <c r="E26" t="s">
        <v>745</v>
      </c>
      <c r="F26" s="181" t="s">
        <v>111</v>
      </c>
      <c r="G26" s="59" t="s">
        <v>63</v>
      </c>
      <c r="H26" s="59" t="s">
        <v>292</v>
      </c>
      <c r="J26" s="54"/>
      <c r="K26" s="54"/>
      <c r="L26" s="144"/>
    </row>
    <row r="27" spans="3:12">
      <c r="C27" s="58" t="s">
        <v>163</v>
      </c>
      <c r="D27" s="56" t="s">
        <v>136</v>
      </c>
      <c r="E27" t="s">
        <v>653</v>
      </c>
      <c r="F27" s="181" t="s">
        <v>110</v>
      </c>
      <c r="G27" s="59" t="s">
        <v>62</v>
      </c>
      <c r="H27" s="59" t="s">
        <v>291</v>
      </c>
      <c r="J27" s="54"/>
      <c r="K27" s="54"/>
      <c r="L27" s="144"/>
    </row>
    <row r="28" spans="3:12">
      <c r="C28" s="58" t="s">
        <v>163</v>
      </c>
      <c r="D28" s="56" t="s">
        <v>41</v>
      </c>
      <c r="E28" t="s">
        <v>654</v>
      </c>
      <c r="F28" s="181" t="s">
        <v>112</v>
      </c>
      <c r="G28" s="59" t="s">
        <v>64</v>
      </c>
      <c r="H28" s="59" t="s">
        <v>293</v>
      </c>
      <c r="J28" s="54"/>
      <c r="K28" s="54"/>
      <c r="L28" s="144"/>
    </row>
    <row r="29" spans="3:12">
      <c r="C29" s="58" t="s">
        <v>163</v>
      </c>
      <c r="D29" s="56" t="s">
        <v>134</v>
      </c>
      <c r="E29" t="s">
        <v>765</v>
      </c>
      <c r="F29" s="181" t="s">
        <v>111</v>
      </c>
      <c r="G29" s="59" t="s">
        <v>63</v>
      </c>
      <c r="H29" s="59" t="s">
        <v>292</v>
      </c>
      <c r="J29" s="54"/>
      <c r="K29" s="54"/>
      <c r="L29" s="144"/>
    </row>
    <row r="30" spans="3:12">
      <c r="C30" s="58" t="s">
        <v>164</v>
      </c>
      <c r="D30" s="56" t="s">
        <v>94</v>
      </c>
      <c r="E30" t="s">
        <v>661</v>
      </c>
      <c r="F30" s="181" t="s">
        <v>110</v>
      </c>
      <c r="G30" s="59" t="s">
        <v>62</v>
      </c>
      <c r="H30" s="59" t="s">
        <v>291</v>
      </c>
      <c r="J30" s="54"/>
      <c r="K30" s="54"/>
      <c r="L30" s="144"/>
    </row>
    <row r="31" spans="3:12">
      <c r="C31" s="58" t="s">
        <v>164</v>
      </c>
      <c r="D31" s="56" t="s">
        <v>133</v>
      </c>
      <c r="E31" t="s">
        <v>748</v>
      </c>
      <c r="F31" s="181" t="s">
        <v>111</v>
      </c>
      <c r="G31" s="59" t="s">
        <v>63</v>
      </c>
      <c r="H31" s="59" t="s">
        <v>292</v>
      </c>
      <c r="J31" s="54"/>
      <c r="K31" s="54"/>
      <c r="L31" s="144"/>
    </row>
    <row r="32" spans="3:12">
      <c r="C32" s="58" t="s">
        <v>164</v>
      </c>
      <c r="D32" s="56" t="s">
        <v>132</v>
      </c>
      <c r="E32" t="s">
        <v>663</v>
      </c>
      <c r="F32" s="181" t="s">
        <v>111</v>
      </c>
      <c r="G32" s="59" t="s">
        <v>63</v>
      </c>
      <c r="H32" s="59" t="s">
        <v>292</v>
      </c>
      <c r="J32" s="54"/>
      <c r="K32" s="54"/>
      <c r="L32" s="144"/>
    </row>
    <row r="33" spans="3:12">
      <c r="C33" s="58" t="s">
        <v>164</v>
      </c>
      <c r="D33" s="56" t="s">
        <v>131</v>
      </c>
      <c r="E33" t="s">
        <v>664</v>
      </c>
      <c r="F33" s="181" t="s">
        <v>111</v>
      </c>
      <c r="G33" s="59" t="s">
        <v>63</v>
      </c>
      <c r="H33" s="59" t="s">
        <v>292</v>
      </c>
      <c r="J33" s="54"/>
      <c r="K33" s="54"/>
      <c r="L33" s="144"/>
    </row>
    <row r="34" spans="3:12">
      <c r="C34" s="58" t="s">
        <v>164</v>
      </c>
      <c r="D34" s="56" t="s">
        <v>130</v>
      </c>
      <c r="E34" t="s">
        <v>667</v>
      </c>
      <c r="F34" s="181" t="s">
        <v>110</v>
      </c>
      <c r="G34" s="59" t="s">
        <v>62</v>
      </c>
      <c r="H34" s="59" t="s">
        <v>291</v>
      </c>
      <c r="J34" s="54"/>
      <c r="K34" s="54"/>
      <c r="L34" s="144"/>
    </row>
    <row r="35" spans="3:12">
      <c r="C35" s="58" t="s">
        <v>164</v>
      </c>
      <c r="D35" s="56" t="s">
        <v>129</v>
      </c>
      <c r="E35" t="s">
        <v>668</v>
      </c>
      <c r="F35" s="181" t="s">
        <v>112</v>
      </c>
      <c r="G35" s="59" t="s">
        <v>64</v>
      </c>
      <c r="H35" s="59" t="s">
        <v>293</v>
      </c>
      <c r="J35" s="54"/>
      <c r="K35" s="54"/>
      <c r="L35" s="144"/>
    </row>
    <row r="36" spans="3:12">
      <c r="C36" s="58" t="s">
        <v>165</v>
      </c>
      <c r="D36" s="56" t="s">
        <v>280</v>
      </c>
      <c r="E36" t="s">
        <v>672</v>
      </c>
      <c r="F36" s="181" t="s">
        <v>112</v>
      </c>
      <c r="G36" s="59" t="s">
        <v>64</v>
      </c>
      <c r="H36" s="59" t="s">
        <v>293</v>
      </c>
      <c r="J36" s="54"/>
      <c r="K36" s="54"/>
      <c r="L36" s="144"/>
    </row>
    <row r="37" spans="3:12">
      <c r="C37" s="58" t="s">
        <v>165</v>
      </c>
      <c r="D37" s="56" t="s">
        <v>128</v>
      </c>
      <c r="E37" t="s">
        <v>764</v>
      </c>
      <c r="F37" s="181" t="s">
        <v>111</v>
      </c>
      <c r="G37" s="59" t="s">
        <v>63</v>
      </c>
      <c r="H37" s="59" t="s">
        <v>292</v>
      </c>
      <c r="L37" s="144"/>
    </row>
    <row r="38" spans="3:12">
      <c r="C38" s="58" t="s">
        <v>165</v>
      </c>
      <c r="D38" s="56" t="s">
        <v>37</v>
      </c>
      <c r="E38" t="s">
        <v>677</v>
      </c>
      <c r="F38" s="181" t="s">
        <v>112</v>
      </c>
      <c r="G38" s="59" t="s">
        <v>64</v>
      </c>
      <c r="H38" s="59" t="s">
        <v>293</v>
      </c>
    </row>
    <row r="39" spans="3:12">
      <c r="C39" s="58" t="s">
        <v>165</v>
      </c>
      <c r="D39" s="56" t="s">
        <v>39</v>
      </c>
      <c r="E39" t="s">
        <v>766</v>
      </c>
      <c r="F39" s="181" t="s">
        <v>111</v>
      </c>
      <c r="G39" s="59" t="s">
        <v>63</v>
      </c>
      <c r="H39" s="59" t="s">
        <v>292</v>
      </c>
    </row>
    <row r="40" spans="3:12">
      <c r="C40" s="58" t="s">
        <v>165</v>
      </c>
      <c r="D40" s="56" t="s">
        <v>40</v>
      </c>
      <c r="E40" t="s">
        <v>683</v>
      </c>
      <c r="F40" s="181" t="s">
        <v>111</v>
      </c>
      <c r="G40" s="59" t="s">
        <v>63</v>
      </c>
      <c r="H40" s="59" t="s">
        <v>292</v>
      </c>
    </row>
    <row r="41" spans="3:12">
      <c r="C41" s="58" t="s">
        <v>165</v>
      </c>
      <c r="D41" s="56" t="s">
        <v>279</v>
      </c>
      <c r="E41" t="s">
        <v>750</v>
      </c>
      <c r="F41" s="181" t="s">
        <v>111</v>
      </c>
      <c r="G41" s="59" t="s">
        <v>63</v>
      </c>
      <c r="H41" s="59" t="s">
        <v>292</v>
      </c>
    </row>
    <row r="42" spans="3:12">
      <c r="C42" s="58" t="s">
        <v>165</v>
      </c>
      <c r="D42" s="56" t="s">
        <v>42</v>
      </c>
      <c r="E42" t="s">
        <v>687</v>
      </c>
      <c r="F42" s="181" t="s">
        <v>110</v>
      </c>
      <c r="G42" s="59" t="s">
        <v>62</v>
      </c>
      <c r="H42" s="59" t="s">
        <v>291</v>
      </c>
    </row>
    <row r="43" spans="3:12">
      <c r="C43" s="58" t="s">
        <v>166</v>
      </c>
      <c r="D43" s="56" t="s">
        <v>127</v>
      </c>
      <c r="E43" t="s">
        <v>753</v>
      </c>
      <c r="F43" s="181" t="s">
        <v>112</v>
      </c>
      <c r="G43" s="59" t="s">
        <v>64</v>
      </c>
      <c r="H43" s="59" t="s">
        <v>293</v>
      </c>
    </row>
    <row r="44" spans="3:12">
      <c r="C44" s="58" t="s">
        <v>166</v>
      </c>
      <c r="D44" s="56" t="s">
        <v>124</v>
      </c>
      <c r="E44" t="s">
        <v>767</v>
      </c>
      <c r="F44" s="181" t="s">
        <v>112</v>
      </c>
      <c r="G44" s="59" t="s">
        <v>64</v>
      </c>
      <c r="H44" s="59" t="s">
        <v>293</v>
      </c>
    </row>
    <row r="45" spans="3:12">
      <c r="C45" s="58" t="s">
        <v>166</v>
      </c>
      <c r="D45" s="56" t="s">
        <v>126</v>
      </c>
      <c r="E45" t="s">
        <v>693</v>
      </c>
      <c r="F45" s="181" t="s">
        <v>111</v>
      </c>
      <c r="G45" s="59" t="s">
        <v>63</v>
      </c>
      <c r="H45" s="59" t="s">
        <v>292</v>
      </c>
    </row>
    <row r="46" spans="3:12">
      <c r="C46" s="58" t="s">
        <v>167</v>
      </c>
      <c r="D46" s="56" t="s">
        <v>124</v>
      </c>
      <c r="E46" t="s">
        <v>694</v>
      </c>
      <c r="F46" s="181" t="s">
        <v>110</v>
      </c>
      <c r="G46" s="59" t="s">
        <v>62</v>
      </c>
      <c r="H46" s="59" t="s">
        <v>291</v>
      </c>
    </row>
    <row r="47" spans="3:12">
      <c r="C47" s="59" t="s">
        <v>168</v>
      </c>
      <c r="D47" s="56" t="s">
        <v>44</v>
      </c>
      <c r="E47"/>
      <c r="F47" s="181"/>
    </row>
    <row r="48" spans="3:12">
      <c r="C48" s="59" t="s">
        <v>168</v>
      </c>
      <c r="D48" s="56" t="s">
        <v>45</v>
      </c>
      <c r="E48"/>
      <c r="F48" s="181"/>
    </row>
    <row r="49" spans="3:8">
      <c r="C49" s="59" t="s">
        <v>168</v>
      </c>
      <c r="D49" s="56" t="s">
        <v>46</v>
      </c>
      <c r="E49"/>
      <c r="F49"/>
      <c r="G49"/>
      <c r="H49"/>
    </row>
    <row r="50" spans="3:8">
      <c r="C50" s="59" t="s">
        <v>238</v>
      </c>
      <c r="D50" s="56" t="s">
        <v>195</v>
      </c>
      <c r="E50"/>
      <c r="F50" s="181"/>
      <c r="G50" s="139"/>
      <c r="H50" s="139"/>
    </row>
    <row r="51" spans="3:8">
      <c r="C51" s="59" t="s">
        <v>238</v>
      </c>
      <c r="D51" s="56" t="s">
        <v>196</v>
      </c>
      <c r="E51"/>
      <c r="F51" s="181"/>
      <c r="G51" s="139"/>
      <c r="H51" s="139"/>
    </row>
    <row r="52" spans="3:8">
      <c r="C52" s="59" t="s">
        <v>238</v>
      </c>
      <c r="D52" s="56" t="s">
        <v>197</v>
      </c>
      <c r="E52"/>
      <c r="F52" s="181"/>
      <c r="G52" s="139"/>
      <c r="H52" s="139"/>
    </row>
    <row r="53" spans="3:8">
      <c r="C53" s="59" t="s">
        <v>238</v>
      </c>
      <c r="D53" s="56" t="s">
        <v>198</v>
      </c>
      <c r="E53"/>
      <c r="F53" s="181"/>
    </row>
    <row r="54" spans="3:8">
      <c r="C54" s="59" t="s">
        <v>238</v>
      </c>
      <c r="D54" s="56" t="s">
        <v>199</v>
      </c>
      <c r="E54"/>
      <c r="F54" s="181"/>
    </row>
    <row r="55" spans="3:8">
      <c r="C55" s="59" t="s">
        <v>238</v>
      </c>
      <c r="D55" s="56" t="s">
        <v>200</v>
      </c>
      <c r="E55"/>
      <c r="F55" s="181"/>
    </row>
    <row r="56" spans="3:8">
      <c r="C56" s="59" t="s">
        <v>238</v>
      </c>
      <c r="D56" s="56" t="s">
        <v>201</v>
      </c>
      <c r="E56"/>
      <c r="F56" s="181"/>
    </row>
    <row r="57" spans="3:8">
      <c r="C57" s="59" t="s">
        <v>238</v>
      </c>
      <c r="D57" s="56" t="s">
        <v>202</v>
      </c>
      <c r="E57"/>
      <c r="F57" s="181"/>
      <c r="G57" s="139"/>
      <c r="H57" s="139"/>
    </row>
    <row r="58" spans="3:8">
      <c r="C58" s="59" t="s">
        <v>238</v>
      </c>
      <c r="D58" s="56" t="s">
        <v>203</v>
      </c>
      <c r="E58"/>
      <c r="F58" s="181"/>
    </row>
    <row r="59" spans="3:8">
      <c r="C59" s="59" t="s">
        <v>238</v>
      </c>
      <c r="D59" s="56" t="s">
        <v>204</v>
      </c>
      <c r="E59"/>
      <c r="F59" s="181"/>
    </row>
    <row r="60" spans="3:8">
      <c r="C60" s="59" t="s">
        <v>238</v>
      </c>
      <c r="D60" s="56" t="s">
        <v>205</v>
      </c>
      <c r="E60"/>
      <c r="F60" s="181"/>
    </row>
    <row r="61" spans="3:8">
      <c r="C61" s="59" t="s">
        <v>238</v>
      </c>
      <c r="D61" s="56" t="s">
        <v>206</v>
      </c>
      <c r="E61"/>
      <c r="F61" s="181"/>
    </row>
    <row r="62" spans="3:8">
      <c r="C62" s="59" t="s">
        <v>238</v>
      </c>
      <c r="D62" s="56" t="s">
        <v>207</v>
      </c>
      <c r="E62"/>
      <c r="F62" s="181"/>
    </row>
    <row r="63" spans="3:8">
      <c r="C63" s="59" t="s">
        <v>238</v>
      </c>
      <c r="D63" s="56" t="s">
        <v>208</v>
      </c>
      <c r="E63"/>
      <c r="F63" s="181"/>
    </row>
    <row r="64" spans="3:8">
      <c r="C64" s="59" t="s">
        <v>238</v>
      </c>
      <c r="D64" s="56" t="s">
        <v>209</v>
      </c>
      <c r="E64"/>
      <c r="F64" s="181"/>
    </row>
    <row r="65" spans="3:8">
      <c r="C65" s="59" t="s">
        <v>238</v>
      </c>
      <c r="D65" s="56" t="s">
        <v>210</v>
      </c>
      <c r="E65"/>
      <c r="F65" s="181"/>
    </row>
    <row r="66" spans="3:8">
      <c r="C66" s="59" t="s">
        <v>238</v>
      </c>
      <c r="D66" s="56" t="s">
        <v>211</v>
      </c>
      <c r="E66"/>
      <c r="F66" s="181"/>
    </row>
    <row r="67" spans="3:8">
      <c r="C67" s="59" t="s">
        <v>238</v>
      </c>
      <c r="D67" s="56" t="s">
        <v>212</v>
      </c>
      <c r="E67"/>
      <c r="F67" s="181"/>
    </row>
    <row r="68" spans="3:8">
      <c r="C68" s="59" t="s">
        <v>238</v>
      </c>
      <c r="D68" s="56" t="s">
        <v>213</v>
      </c>
      <c r="E68"/>
      <c r="F68"/>
      <c r="G68"/>
      <c r="H68"/>
    </row>
    <row r="69" spans="3:8">
      <c r="C69" s="59" t="s">
        <v>238</v>
      </c>
      <c r="D69" s="56" t="s">
        <v>214</v>
      </c>
      <c r="E69"/>
      <c r="F69" s="181"/>
    </row>
    <row r="70" spans="3:8">
      <c r="C70" s="59" t="s">
        <v>238</v>
      </c>
      <c r="D70" s="56" t="s">
        <v>215</v>
      </c>
      <c r="E70"/>
      <c r="F70" s="181"/>
    </row>
    <row r="71" spans="3:8">
      <c r="C71" s="59" t="s">
        <v>238</v>
      </c>
      <c r="D71" s="56" t="s">
        <v>216</v>
      </c>
      <c r="E71"/>
      <c r="F71" s="181"/>
    </row>
    <row r="72" spans="3:8">
      <c r="C72" s="59" t="s">
        <v>238</v>
      </c>
      <c r="D72" s="56" t="s">
        <v>133</v>
      </c>
      <c r="E72"/>
      <c r="F72" s="181"/>
    </row>
    <row r="73" spans="3:8">
      <c r="C73" s="59" t="s">
        <v>238</v>
      </c>
      <c r="D73" s="56" t="s">
        <v>217</v>
      </c>
      <c r="E73"/>
      <c r="F73" s="181"/>
    </row>
    <row r="74" spans="3:8">
      <c r="C74" s="59" t="s">
        <v>238</v>
      </c>
      <c r="D74" s="56" t="s">
        <v>218</v>
      </c>
      <c r="E74"/>
      <c r="F74" s="181"/>
    </row>
    <row r="75" spans="3:8">
      <c r="C75" s="59" t="s">
        <v>238</v>
      </c>
      <c r="D75" s="56" t="s">
        <v>132</v>
      </c>
      <c r="E75"/>
      <c r="F75" s="181"/>
    </row>
    <row r="76" spans="3:8">
      <c r="C76" s="59" t="s">
        <v>238</v>
      </c>
      <c r="D76" s="56" t="s">
        <v>219</v>
      </c>
      <c r="E76"/>
      <c r="F76" s="181"/>
    </row>
    <row r="77" spans="3:8">
      <c r="C77" s="59" t="s">
        <v>238</v>
      </c>
      <c r="D77" s="56" t="s">
        <v>220</v>
      </c>
      <c r="E77"/>
      <c r="F77" s="181"/>
    </row>
    <row r="78" spans="3:8">
      <c r="C78" s="59" t="s">
        <v>238</v>
      </c>
      <c r="D78" s="56" t="s">
        <v>153</v>
      </c>
      <c r="E78"/>
      <c r="F78" s="181"/>
    </row>
    <row r="79" spans="3:8">
      <c r="C79" s="59" t="s">
        <v>238</v>
      </c>
      <c r="D79" s="56" t="s">
        <v>221</v>
      </c>
      <c r="E79"/>
      <c r="F79" s="181"/>
    </row>
    <row r="80" spans="3:8">
      <c r="C80" s="59" t="s">
        <v>238</v>
      </c>
      <c r="D80" s="56" t="s">
        <v>150</v>
      </c>
      <c r="E80"/>
      <c r="F80" s="181"/>
    </row>
    <row r="81" spans="3:8">
      <c r="C81" s="59" t="s">
        <v>238</v>
      </c>
      <c r="D81" s="56" t="s">
        <v>222</v>
      </c>
      <c r="E81"/>
      <c r="F81" s="181"/>
    </row>
    <row r="82" spans="3:8">
      <c r="C82" s="59" t="s">
        <v>238</v>
      </c>
      <c r="D82" s="56" t="s">
        <v>223</v>
      </c>
      <c r="E82"/>
      <c r="F82" s="181"/>
    </row>
    <row r="83" spans="3:8">
      <c r="C83" s="59" t="s">
        <v>238</v>
      </c>
      <c r="D83" s="56" t="s">
        <v>224</v>
      </c>
      <c r="E83"/>
      <c r="F83" s="181"/>
    </row>
    <row r="84" spans="3:8">
      <c r="C84" s="59" t="s">
        <v>238</v>
      </c>
      <c r="D84" s="56" t="s">
        <v>225</v>
      </c>
      <c r="E84"/>
      <c r="F84" s="181"/>
    </row>
    <row r="85" spans="3:8">
      <c r="C85" s="59" t="s">
        <v>238</v>
      </c>
      <c r="D85" s="56" t="s">
        <v>226</v>
      </c>
      <c r="E85"/>
      <c r="F85" s="181"/>
    </row>
    <row r="86" spans="3:8">
      <c r="C86" s="59" t="s">
        <v>238</v>
      </c>
      <c r="D86" s="56" t="s">
        <v>227</v>
      </c>
      <c r="E86"/>
      <c r="F86" s="181"/>
    </row>
    <row r="87" spans="3:8">
      <c r="C87" s="59" t="s">
        <v>238</v>
      </c>
      <c r="D87" s="56" t="s">
        <v>228</v>
      </c>
      <c r="E87"/>
      <c r="F87" s="181"/>
    </row>
    <row r="88" spans="3:8">
      <c r="C88" s="59" t="s">
        <v>238</v>
      </c>
      <c r="D88" s="56" t="s">
        <v>229</v>
      </c>
      <c r="E88"/>
      <c r="F88" s="181"/>
    </row>
    <row r="89" spans="3:8">
      <c r="C89" s="59" t="s">
        <v>238</v>
      </c>
      <c r="D89" s="56" t="s">
        <v>230</v>
      </c>
      <c r="E89"/>
      <c r="F89" s="181"/>
    </row>
    <row r="90" spans="3:8">
      <c r="C90" s="59" t="s">
        <v>238</v>
      </c>
      <c r="D90" s="56" t="s">
        <v>130</v>
      </c>
      <c r="E90"/>
      <c r="F90" s="181"/>
    </row>
    <row r="91" spans="3:8">
      <c r="C91" s="59" t="s">
        <v>238</v>
      </c>
      <c r="D91" s="56" t="s">
        <v>231</v>
      </c>
      <c r="E91"/>
      <c r="F91" s="181"/>
    </row>
    <row r="92" spans="3:8">
      <c r="C92" s="59" t="s">
        <v>238</v>
      </c>
      <c r="D92" s="56" t="s">
        <v>232</v>
      </c>
      <c r="E92"/>
      <c r="F92" s="181"/>
    </row>
    <row r="93" spans="3:8">
      <c r="C93" s="59" t="s">
        <v>238</v>
      </c>
      <c r="D93" s="56" t="s">
        <v>233</v>
      </c>
      <c r="E93"/>
      <c r="F93" s="181"/>
      <c r="G93" s="139"/>
      <c r="H93" s="139"/>
    </row>
    <row r="94" spans="3:8">
      <c r="C94" s="59" t="s">
        <v>238</v>
      </c>
      <c r="D94" s="56" t="s">
        <v>234</v>
      </c>
      <c r="E94"/>
      <c r="F94" s="181"/>
    </row>
    <row r="95" spans="3:8">
      <c r="C95" s="59" t="s">
        <v>238</v>
      </c>
      <c r="D95" s="56" t="s">
        <v>235</v>
      </c>
      <c r="E95"/>
      <c r="F95" s="181"/>
    </row>
    <row r="96" spans="3:8">
      <c r="C96" s="59" t="s">
        <v>238</v>
      </c>
      <c r="D96" s="56" t="s">
        <v>236</v>
      </c>
      <c r="E96"/>
      <c r="F96" s="181"/>
    </row>
    <row r="97" spans="3:6">
      <c r="C97" s="59" t="s">
        <v>238</v>
      </c>
      <c r="D97" s="56" t="s">
        <v>237</v>
      </c>
      <c r="E97"/>
      <c r="F97" s="181"/>
    </row>
    <row r="98" spans="3:6">
      <c r="C98" s="59" t="s">
        <v>171</v>
      </c>
      <c r="D98" s="56" t="s">
        <v>173</v>
      </c>
      <c r="E98"/>
      <c r="F98" s="181"/>
    </row>
    <row r="99" spans="3:6">
      <c r="C99" s="59" t="s">
        <v>240</v>
      </c>
      <c r="D99" s="56" t="s">
        <v>241</v>
      </c>
      <c r="E99"/>
      <c r="F99" s="181"/>
    </row>
    <row r="100" spans="3:6">
      <c r="C100" s="59" t="s">
        <v>240</v>
      </c>
      <c r="D100" s="56" t="s">
        <v>242</v>
      </c>
      <c r="E100"/>
      <c r="F100" s="181"/>
    </row>
    <row r="101" spans="3:6">
      <c r="C101" s="59" t="s">
        <v>240</v>
      </c>
      <c r="D101" s="56" t="s">
        <v>243</v>
      </c>
      <c r="E101"/>
      <c r="F101" s="181"/>
    </row>
    <row r="102" spans="3:6">
      <c r="C102" s="59" t="s">
        <v>240</v>
      </c>
      <c r="D102" s="56" t="s">
        <v>244</v>
      </c>
      <c r="E102"/>
      <c r="F102" s="181"/>
    </row>
    <row r="103" spans="3:6">
      <c r="C103" s="59" t="s">
        <v>240</v>
      </c>
      <c r="D103" s="56" t="s">
        <v>245</v>
      </c>
      <c r="E103"/>
      <c r="F103" s="181"/>
    </row>
    <row r="104" spans="3:6">
      <c r="C104" s="59" t="s">
        <v>240</v>
      </c>
      <c r="D104" s="56" t="s">
        <v>246</v>
      </c>
      <c r="E104"/>
      <c r="F104" s="181"/>
    </row>
    <row r="105" spans="3:6">
      <c r="C105" s="59" t="s">
        <v>240</v>
      </c>
      <c r="D105" s="56" t="s">
        <v>247</v>
      </c>
      <c r="E105"/>
      <c r="F105" s="181"/>
    </row>
    <row r="106" spans="3:6">
      <c r="C106" s="59" t="s">
        <v>240</v>
      </c>
      <c r="D106" s="56" t="s">
        <v>248</v>
      </c>
      <c r="E106"/>
      <c r="F106" s="181"/>
    </row>
    <row r="107" spans="3:6">
      <c r="C107" s="59" t="s">
        <v>240</v>
      </c>
      <c r="D107" s="56" t="s">
        <v>249</v>
      </c>
      <c r="E107"/>
      <c r="F107" s="181"/>
    </row>
    <row r="108" spans="3:6">
      <c r="C108" s="59" t="s">
        <v>240</v>
      </c>
      <c r="D108" s="56" t="s">
        <v>250</v>
      </c>
      <c r="E108"/>
      <c r="F108" s="181"/>
    </row>
    <row r="109" spans="3:6">
      <c r="C109" s="59" t="s">
        <v>240</v>
      </c>
      <c r="D109" s="56" t="s">
        <v>251</v>
      </c>
      <c r="E109"/>
      <c r="F109" s="181"/>
    </row>
    <row r="110" spans="3:6">
      <c r="C110" s="59" t="s">
        <v>240</v>
      </c>
      <c r="D110" s="56" t="s">
        <v>252</v>
      </c>
      <c r="E110"/>
      <c r="F110" s="181"/>
    </row>
    <row r="111" spans="3:6">
      <c r="C111" s="59" t="s">
        <v>240</v>
      </c>
      <c r="D111" s="56" t="s">
        <v>253</v>
      </c>
      <c r="E111"/>
      <c r="F111" s="181"/>
    </row>
    <row r="112" spans="3:6">
      <c r="C112" s="59" t="s">
        <v>240</v>
      </c>
      <c r="D112" s="56" t="s">
        <v>254</v>
      </c>
      <c r="E112"/>
      <c r="F112" s="181"/>
    </row>
    <row r="113" spans="3:6">
      <c r="C113" s="59" t="s">
        <v>240</v>
      </c>
      <c r="D113" s="56" t="s">
        <v>255</v>
      </c>
      <c r="E113"/>
      <c r="F113" s="181"/>
    </row>
    <row r="114" spans="3:6">
      <c r="C114" s="59" t="s">
        <v>240</v>
      </c>
      <c r="D114" s="56" t="s">
        <v>256</v>
      </c>
      <c r="E114"/>
      <c r="F114" s="181"/>
    </row>
    <row r="115" spans="3:6">
      <c r="C115" s="59" t="s">
        <v>240</v>
      </c>
      <c r="D115" s="56" t="s">
        <v>257</v>
      </c>
      <c r="E115"/>
      <c r="F115" s="181"/>
    </row>
    <row r="116" spans="3:6">
      <c r="C116" s="59" t="s">
        <v>240</v>
      </c>
      <c r="D116" s="56" t="s">
        <v>258</v>
      </c>
      <c r="E116"/>
      <c r="F116" s="181"/>
    </row>
    <row r="117" spans="3:6">
      <c r="C117" s="59" t="s">
        <v>240</v>
      </c>
      <c r="D117" s="56" t="s">
        <v>211</v>
      </c>
      <c r="E117"/>
      <c r="F117" s="181"/>
    </row>
    <row r="118" spans="3:6">
      <c r="C118" s="59" t="s">
        <v>240</v>
      </c>
      <c r="D118" s="56" t="s">
        <v>259</v>
      </c>
      <c r="E118"/>
      <c r="F118" s="181"/>
    </row>
    <row r="119" spans="3:6">
      <c r="C119" s="59" t="s">
        <v>240</v>
      </c>
      <c r="D119" s="56" t="s">
        <v>260</v>
      </c>
      <c r="E119"/>
      <c r="F119" s="181"/>
    </row>
    <row r="120" spans="3:6">
      <c r="C120" s="59" t="s">
        <v>240</v>
      </c>
      <c r="D120" s="56" t="s">
        <v>261</v>
      </c>
      <c r="E120"/>
      <c r="F120" s="181"/>
    </row>
    <row r="121" spans="3:6">
      <c r="C121" s="59" t="s">
        <v>240</v>
      </c>
      <c r="D121" s="56" t="s">
        <v>133</v>
      </c>
      <c r="E121"/>
      <c r="F121" s="181"/>
    </row>
    <row r="122" spans="3:6">
      <c r="C122" s="59" t="s">
        <v>240</v>
      </c>
      <c r="D122" s="56" t="s">
        <v>262</v>
      </c>
      <c r="E122"/>
      <c r="F122" s="181"/>
    </row>
    <row r="123" spans="3:6">
      <c r="C123" s="59" t="s">
        <v>240</v>
      </c>
      <c r="D123" s="56" t="s">
        <v>132</v>
      </c>
      <c r="E123"/>
      <c r="F123" s="181"/>
    </row>
    <row r="124" spans="3:6">
      <c r="C124" s="59" t="s">
        <v>240</v>
      </c>
      <c r="D124" s="56" t="s">
        <v>153</v>
      </c>
      <c r="E124"/>
      <c r="F124" s="181"/>
    </row>
    <row r="125" spans="3:6">
      <c r="C125" s="59" t="s">
        <v>240</v>
      </c>
      <c r="D125" s="56" t="s">
        <v>150</v>
      </c>
      <c r="E125"/>
      <c r="F125" s="181"/>
    </row>
    <row r="126" spans="3:6">
      <c r="C126" s="59" t="s">
        <v>240</v>
      </c>
      <c r="D126" s="56" t="s">
        <v>263</v>
      </c>
      <c r="E126"/>
      <c r="F126" s="181"/>
    </row>
    <row r="127" spans="3:6">
      <c r="C127" s="59" t="s">
        <v>240</v>
      </c>
      <c r="D127" s="56" t="s">
        <v>264</v>
      </c>
      <c r="E127"/>
      <c r="F127" s="181"/>
    </row>
    <row r="128" spans="3:6">
      <c r="C128" s="59" t="s">
        <v>240</v>
      </c>
      <c r="D128" s="56" t="s">
        <v>265</v>
      </c>
      <c r="E128"/>
      <c r="F128" s="181"/>
    </row>
    <row r="129" spans="3:6">
      <c r="C129" s="59" t="s">
        <v>240</v>
      </c>
      <c r="D129" s="56" t="s">
        <v>130</v>
      </c>
      <c r="E129"/>
      <c r="F129" s="181"/>
    </row>
    <row r="130" spans="3:6">
      <c r="C130" s="59" t="s">
        <v>240</v>
      </c>
      <c r="D130" s="56" t="s">
        <v>266</v>
      </c>
      <c r="E130"/>
      <c r="F130" s="181"/>
    </row>
    <row r="131" spans="3:6">
      <c r="C131" s="59" t="s">
        <v>240</v>
      </c>
      <c r="D131" s="56" t="s">
        <v>267</v>
      </c>
      <c r="E131"/>
      <c r="F131" s="181"/>
    </row>
    <row r="132" spans="3:6">
      <c r="C132" s="59" t="s">
        <v>240</v>
      </c>
      <c r="D132" s="56" t="s">
        <v>268</v>
      </c>
      <c r="E132"/>
      <c r="F132" s="181"/>
    </row>
    <row r="133" spans="3:6">
      <c r="C133" s="59" t="s">
        <v>270</v>
      </c>
      <c r="D133" s="56" t="s">
        <v>271</v>
      </c>
      <c r="E133"/>
      <c r="F133" s="181"/>
    </row>
    <row r="134" spans="3:6">
      <c r="C134" s="59" t="s">
        <v>270</v>
      </c>
      <c r="D134" s="56" t="s">
        <v>272</v>
      </c>
      <c r="E134"/>
      <c r="F134" s="181"/>
    </row>
    <row r="135" spans="3:6">
      <c r="C135" s="59" t="s">
        <v>270</v>
      </c>
      <c r="D135" s="56" t="s">
        <v>273</v>
      </c>
      <c r="E135"/>
      <c r="F135" s="181"/>
    </row>
    <row r="136" spans="3:6">
      <c r="E136"/>
      <c r="F136" s="181"/>
    </row>
    <row r="137" spans="3:6">
      <c r="E137"/>
      <c r="F137" s="181"/>
    </row>
    <row r="138" spans="3:6">
      <c r="E138"/>
      <c r="F138" s="181"/>
    </row>
    <row r="139" spans="3:6">
      <c r="E139"/>
      <c r="F139" s="181"/>
    </row>
    <row r="140" spans="3:6">
      <c r="E140"/>
      <c r="F140" s="181"/>
    </row>
    <row r="141" spans="3:6">
      <c r="E141"/>
      <c r="F141" s="181"/>
    </row>
    <row r="142" spans="3:6">
      <c r="E142"/>
      <c r="F142" s="181"/>
    </row>
    <row r="143" spans="3:6">
      <c r="E143"/>
      <c r="F143" s="181"/>
    </row>
    <row r="144" spans="3:6">
      <c r="E144"/>
      <c r="F144" s="181"/>
    </row>
    <row r="145" spans="5:8">
      <c r="E145"/>
      <c r="F145" s="181"/>
    </row>
    <row r="146" spans="5:8">
      <c r="E146"/>
      <c r="F146" s="181"/>
    </row>
    <row r="147" spans="5:8">
      <c r="E147"/>
      <c r="F147" s="181"/>
    </row>
    <row r="148" spans="5:8">
      <c r="E148"/>
      <c r="F148" s="181"/>
    </row>
    <row r="149" spans="5:8">
      <c r="E149"/>
      <c r="F149" s="181"/>
    </row>
    <row r="150" spans="5:8">
      <c r="E150"/>
      <c r="F150" s="181"/>
    </row>
    <row r="151" spans="5:8">
      <c r="E151"/>
      <c r="F151" s="181"/>
    </row>
    <row r="152" spans="5:8">
      <c r="E152"/>
      <c r="F152" s="181"/>
    </row>
    <row r="153" spans="5:8">
      <c r="E153"/>
      <c r="F153" s="181"/>
      <c r="G153" s="139"/>
      <c r="H153" s="139"/>
    </row>
    <row r="154" spans="5:8">
      <c r="E154"/>
      <c r="F154" s="181"/>
      <c r="G154" s="139"/>
      <c r="H154" s="139"/>
    </row>
    <row r="155" spans="5:8">
      <c r="E155"/>
      <c r="F155" s="181"/>
      <c r="G155" s="139"/>
      <c r="H155" s="139"/>
    </row>
    <row r="156" spans="5:8">
      <c r="E156"/>
      <c r="F156" s="181"/>
      <c r="G156" s="139"/>
      <c r="H156" s="139"/>
    </row>
    <row r="157" spans="5:8">
      <c r="E157"/>
      <c r="F157" s="181"/>
      <c r="G157" s="139"/>
      <c r="H157" s="139"/>
    </row>
    <row r="158" spans="5:8">
      <c r="E158"/>
      <c r="F158" s="181"/>
      <c r="G158" s="139"/>
      <c r="H158" s="139"/>
    </row>
    <row r="159" spans="5:8">
      <c r="E159"/>
      <c r="F159" s="181"/>
      <c r="G159" s="139"/>
      <c r="H159" s="139"/>
    </row>
    <row r="160" spans="5:8">
      <c r="E160"/>
      <c r="F160" s="181"/>
      <c r="G160" s="139"/>
      <c r="H160" s="139"/>
    </row>
    <row r="161" spans="5:8">
      <c r="E161"/>
      <c r="F161" s="181"/>
      <c r="G161" s="139"/>
      <c r="H161" s="139"/>
    </row>
    <row r="162" spans="5:8">
      <c r="E162"/>
      <c r="F162" s="181"/>
      <c r="G162" s="139"/>
      <c r="H162" s="139"/>
    </row>
    <row r="163" spans="5:8">
      <c r="E163"/>
      <c r="F163" s="181"/>
      <c r="G163" s="139"/>
      <c r="H163" s="139"/>
    </row>
    <row r="164" spans="5:8">
      <c r="E164"/>
      <c r="F164" s="181"/>
      <c r="G164" s="139"/>
      <c r="H164" s="139"/>
    </row>
    <row r="165" spans="5:8">
      <c r="E165"/>
      <c r="F165" s="181"/>
      <c r="G165" s="139"/>
      <c r="H165" s="139"/>
    </row>
    <row r="166" spans="5:8">
      <c r="E166"/>
      <c r="F166" s="181"/>
      <c r="G166" s="139"/>
      <c r="H166" s="139"/>
    </row>
    <row r="167" spans="5:8">
      <c r="E167"/>
      <c r="F167" s="181"/>
      <c r="G167" s="139"/>
      <c r="H167" s="139"/>
    </row>
    <row r="168" spans="5:8">
      <c r="E168"/>
      <c r="F168" s="181"/>
      <c r="G168" s="139"/>
      <c r="H168" s="139"/>
    </row>
    <row r="169" spans="5:8">
      <c r="E169"/>
      <c r="F169" s="181"/>
      <c r="G169" s="139"/>
      <c r="H169" s="139"/>
    </row>
    <row r="170" spans="5:8">
      <c r="E170"/>
      <c r="F170" s="181"/>
      <c r="G170" s="139"/>
      <c r="H170" s="139"/>
    </row>
    <row r="171" spans="5:8">
      <c r="E171"/>
      <c r="F171" s="181"/>
      <c r="G171" s="139"/>
      <c r="H171" s="139"/>
    </row>
    <row r="172" spans="5:8">
      <c r="E172"/>
      <c r="F172" s="181"/>
      <c r="G172" s="139"/>
      <c r="H172" s="139"/>
    </row>
    <row r="173" spans="5:8">
      <c r="E173"/>
      <c r="F173" s="181"/>
      <c r="G173" s="139"/>
      <c r="H173" s="139"/>
    </row>
    <row r="174" spans="5:8">
      <c r="E174"/>
      <c r="F174" s="181"/>
      <c r="G174" s="139"/>
      <c r="H174" s="139"/>
    </row>
    <row r="175" spans="5:8">
      <c r="E175"/>
      <c r="F175" s="181"/>
      <c r="G175" s="139"/>
      <c r="H175" s="139"/>
    </row>
    <row r="176" spans="5:8">
      <c r="E176"/>
      <c r="F176" s="181"/>
      <c r="G176" s="139"/>
      <c r="H176" s="139"/>
    </row>
    <row r="177" spans="5:8">
      <c r="E177"/>
      <c r="F177" s="181"/>
      <c r="G177" s="139"/>
      <c r="H177" s="139"/>
    </row>
    <row r="178" spans="5:8">
      <c r="E178"/>
      <c r="F178" s="181"/>
      <c r="G178" s="139"/>
      <c r="H178" s="139"/>
    </row>
    <row r="179" spans="5:8">
      <c r="E179"/>
      <c r="F179" s="181"/>
      <c r="G179" s="139"/>
      <c r="H179" s="139"/>
    </row>
    <row r="180" spans="5:8">
      <c r="E180"/>
      <c r="F180" s="181"/>
      <c r="G180" s="139"/>
      <c r="H180" s="139"/>
    </row>
    <row r="181" spans="5:8">
      <c r="E181"/>
      <c r="F181" s="181"/>
      <c r="G181" s="139"/>
      <c r="H181" s="139"/>
    </row>
    <row r="182" spans="5:8">
      <c r="E182"/>
      <c r="F182" s="181"/>
    </row>
    <row r="183" spans="5:8">
      <c r="E183"/>
      <c r="F183" s="181"/>
    </row>
    <row r="184" spans="5:8">
      <c r="E184"/>
      <c r="F184" s="181"/>
    </row>
    <row r="185" spans="5:8">
      <c r="E185"/>
      <c r="F185" s="181"/>
    </row>
    <row r="186" spans="5:8">
      <c r="E186"/>
      <c r="F186" s="181"/>
    </row>
    <row r="187" spans="5:8">
      <c r="E187"/>
      <c r="F187" s="181"/>
    </row>
    <row r="188" spans="5:8">
      <c r="E188"/>
      <c r="F188" s="181"/>
    </row>
    <row r="189" spans="5:8">
      <c r="E189"/>
      <c r="F189" s="181"/>
    </row>
    <row r="190" spans="5:8">
      <c r="E190"/>
      <c r="F190" s="181"/>
    </row>
    <row r="191" spans="5:8">
      <c r="E191"/>
      <c r="F191" s="181"/>
    </row>
    <row r="192" spans="5:8">
      <c r="E192"/>
      <c r="F192" s="181"/>
    </row>
    <row r="193" spans="5:6">
      <c r="E193"/>
      <c r="F193" s="181"/>
    </row>
    <row r="194" spans="5:6">
      <c r="E194"/>
      <c r="F194" s="181"/>
    </row>
    <row r="195" spans="5:6">
      <c r="E195"/>
      <c r="F195" s="181"/>
    </row>
    <row r="196" spans="5:6">
      <c r="E196"/>
      <c r="F196" s="181"/>
    </row>
    <row r="197" spans="5:6">
      <c r="E197"/>
      <c r="F197" s="181"/>
    </row>
    <row r="198" spans="5:6">
      <c r="E198"/>
      <c r="F198" s="181"/>
    </row>
    <row r="199" spans="5:6">
      <c r="E199"/>
      <c r="F199" s="181"/>
    </row>
    <row r="200" spans="5:6">
      <c r="E200"/>
      <c r="F200" s="181"/>
    </row>
    <row r="201" spans="5:6">
      <c r="E201"/>
      <c r="F201" s="181"/>
    </row>
    <row r="202" spans="5:6">
      <c r="E202"/>
      <c r="F202" s="181"/>
    </row>
    <row r="203" spans="5:6">
      <c r="E203"/>
      <c r="F203" s="181"/>
    </row>
    <row r="204" spans="5:6">
      <c r="E204"/>
      <c r="F204" s="181"/>
    </row>
    <row r="205" spans="5:6">
      <c r="E205"/>
      <c r="F205" s="181"/>
    </row>
    <row r="206" spans="5:6">
      <c r="E206"/>
      <c r="F206" s="181"/>
    </row>
    <row r="207" spans="5:6">
      <c r="E207"/>
      <c r="F207" s="181"/>
    </row>
    <row r="208" spans="5:6">
      <c r="E208"/>
      <c r="F208" s="181"/>
    </row>
    <row r="209" spans="5:8">
      <c r="E209"/>
      <c r="F209" s="181"/>
    </row>
    <row r="210" spans="5:8">
      <c r="E210"/>
      <c r="F210" s="181"/>
    </row>
    <row r="211" spans="5:8">
      <c r="E211"/>
      <c r="F211" s="181"/>
    </row>
    <row r="212" spans="5:8">
      <c r="E212"/>
      <c r="F212" s="181"/>
    </row>
    <row r="213" spans="5:8">
      <c r="E213"/>
      <c r="F213" s="181"/>
    </row>
    <row r="214" spans="5:8">
      <c r="E214"/>
      <c r="F214" s="181"/>
    </row>
    <row r="215" spans="5:8">
      <c r="E215"/>
      <c r="F215" s="181"/>
    </row>
    <row r="216" spans="5:8">
      <c r="E216"/>
      <c r="F216" s="181"/>
    </row>
    <row r="217" spans="5:8">
      <c r="E217"/>
      <c r="F217" s="181"/>
    </row>
    <row r="218" spans="5:8">
      <c r="E218"/>
      <c r="F218" s="181"/>
    </row>
    <row r="219" spans="5:8">
      <c r="E219"/>
      <c r="F219" s="181"/>
    </row>
    <row r="220" spans="5:8">
      <c r="E220"/>
      <c r="F220" s="181"/>
    </row>
    <row r="221" spans="5:8">
      <c r="E221"/>
      <c r="F221" s="181"/>
    </row>
    <row r="222" spans="5:8">
      <c r="E222"/>
      <c r="F222" s="181"/>
    </row>
    <row r="223" spans="5:8">
      <c r="E223"/>
      <c r="F223" s="181"/>
    </row>
    <row r="224" spans="5:8">
      <c r="E224"/>
      <c r="F224" s="181"/>
      <c r="G224" s="139"/>
      <c r="H224" s="139"/>
    </row>
    <row r="225" spans="5:8">
      <c r="E225"/>
      <c r="F225" s="181"/>
      <c r="G225" s="139"/>
      <c r="H225" s="139"/>
    </row>
    <row r="226" spans="5:8">
      <c r="E226"/>
      <c r="F226" s="181"/>
      <c r="G226" s="139"/>
      <c r="H226" s="139"/>
    </row>
    <row r="227" spans="5:8">
      <c r="E227"/>
      <c r="F227" s="181"/>
      <c r="G227" s="139"/>
      <c r="H227" s="139"/>
    </row>
    <row r="228" spans="5:8">
      <c r="E228"/>
      <c r="F228" s="181"/>
      <c r="G228" s="139"/>
      <c r="H228" s="139"/>
    </row>
    <row r="229" spans="5:8">
      <c r="E229"/>
      <c r="F229" s="181"/>
    </row>
    <row r="230" spans="5:8">
      <c r="E230"/>
      <c r="F230" s="181"/>
    </row>
    <row r="231" spans="5:8">
      <c r="E231"/>
      <c r="F231" s="181"/>
    </row>
    <row r="232" spans="5:8">
      <c r="E232"/>
      <c r="F232" s="181"/>
      <c r="G232" s="139"/>
      <c r="H232" s="139"/>
    </row>
    <row r="233" spans="5:8">
      <c r="E233"/>
      <c r="F233" s="181"/>
    </row>
    <row r="234" spans="5:8">
      <c r="E234"/>
      <c r="F234" s="181"/>
    </row>
    <row r="235" spans="5:8">
      <c r="E235"/>
      <c r="F235" s="181"/>
    </row>
    <row r="236" spans="5:8">
      <c r="E236"/>
      <c r="F236" s="181"/>
    </row>
    <row r="237" spans="5:8">
      <c r="E237"/>
      <c r="F237" s="181"/>
    </row>
    <row r="238" spans="5:8">
      <c r="E238"/>
      <c r="F238" s="181"/>
    </row>
    <row r="239" spans="5:8">
      <c r="E239"/>
      <c r="F239" s="181"/>
    </row>
    <row r="240" spans="5:8">
      <c r="E240"/>
      <c r="F240" s="181"/>
    </row>
    <row r="241" spans="5:8">
      <c r="E241"/>
      <c r="F241" s="181"/>
    </row>
    <row r="242" spans="5:8">
      <c r="E242"/>
      <c r="F242" s="181"/>
    </row>
    <row r="243" spans="5:8">
      <c r="E243"/>
      <c r="F243" s="181"/>
    </row>
    <row r="244" spans="5:8">
      <c r="E244"/>
      <c r="F244" s="181"/>
    </row>
    <row r="245" spans="5:8">
      <c r="E245"/>
      <c r="F245" s="181"/>
    </row>
    <row r="246" spans="5:8">
      <c r="E246"/>
      <c r="F246" s="181"/>
      <c r="G246" s="139"/>
      <c r="H246" s="139"/>
    </row>
    <row r="247" spans="5:8">
      <c r="E247"/>
      <c r="F247" s="181"/>
    </row>
    <row r="248" spans="5:8">
      <c r="E248"/>
      <c r="F248" s="181"/>
    </row>
    <row r="249" spans="5:8">
      <c r="E249"/>
      <c r="F249" s="181"/>
    </row>
    <row r="250" spans="5:8">
      <c r="E250"/>
      <c r="F250" s="181"/>
    </row>
    <row r="251" spans="5:8">
      <c r="E251"/>
      <c r="F251" s="181"/>
    </row>
    <row r="252" spans="5:8">
      <c r="E252"/>
      <c r="F252" s="181"/>
    </row>
    <row r="253" spans="5:8">
      <c r="E253"/>
      <c r="F253" s="181"/>
    </row>
    <row r="254" spans="5:8">
      <c r="E254"/>
      <c r="F254" s="181"/>
    </row>
    <row r="255" spans="5:8">
      <c r="E255"/>
      <c r="F255"/>
      <c r="G255"/>
      <c r="H255"/>
    </row>
    <row r="256" spans="5:8">
      <c r="E256"/>
      <c r="F256" s="181"/>
    </row>
    <row r="257" spans="5:8">
      <c r="E257"/>
      <c r="F257" s="181"/>
    </row>
    <row r="258" spans="5:8">
      <c r="E258"/>
      <c r="F258" s="181"/>
    </row>
    <row r="259" spans="5:8">
      <c r="E259"/>
      <c r="F259" s="181"/>
    </row>
    <row r="260" spans="5:8">
      <c r="E260"/>
      <c r="F260" s="181"/>
    </row>
    <row r="261" spans="5:8">
      <c r="E261"/>
      <c r="F261" s="181"/>
    </row>
    <row r="262" spans="5:8">
      <c r="E262"/>
      <c r="F262" s="181"/>
    </row>
    <row r="263" spans="5:8">
      <c r="E263"/>
      <c r="F263" s="181"/>
    </row>
    <row r="264" spans="5:8">
      <c r="E264"/>
      <c r="F264" s="181"/>
    </row>
    <row r="265" spans="5:8">
      <c r="E265"/>
      <c r="F265" s="181"/>
      <c r="G265" s="139"/>
      <c r="H265" s="139"/>
    </row>
    <row r="266" spans="5:8">
      <c r="E266"/>
      <c r="F266" s="181"/>
      <c r="G266" s="139"/>
      <c r="H266" s="139"/>
    </row>
    <row r="267" spans="5:8">
      <c r="E267"/>
      <c r="F267" s="181"/>
    </row>
    <row r="268" spans="5:8">
      <c r="E268"/>
      <c r="F268" s="181"/>
    </row>
    <row r="269" spans="5:8">
      <c r="E269"/>
      <c r="F269" s="181"/>
    </row>
    <row r="270" spans="5:8">
      <c r="E270"/>
      <c r="F270"/>
      <c r="G270"/>
      <c r="H270"/>
    </row>
    <row r="271" spans="5:8">
      <c r="E271"/>
      <c r="F271" s="181"/>
    </row>
    <row r="272" spans="5:8">
      <c r="E272"/>
      <c r="F272" s="181"/>
    </row>
    <row r="273" spans="5:8">
      <c r="E273"/>
      <c r="F273" s="181"/>
      <c r="G273" s="139"/>
      <c r="H273" s="139"/>
    </row>
    <row r="274" spans="5:8">
      <c r="E274"/>
      <c r="F274" s="181"/>
    </row>
    <row r="275" spans="5:8">
      <c r="E275"/>
      <c r="F275" s="181"/>
    </row>
  </sheetData>
  <autoFilter ref="A1:P135" xr:uid="{00000000-0009-0000-0000-000005000000}"/>
  <sortState xmlns:xlrd2="http://schemas.microsoft.com/office/spreadsheetml/2017/richdata2" ref="E2:H46">
    <sortCondition ref="E2:E46"/>
  </sortState>
  <phoneticPr fontId="37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61</vt:i4>
      </vt:variant>
    </vt:vector>
  </HeadingPairs>
  <TitlesOfParts>
    <vt:vector size="67" baseType="lpstr">
      <vt:lpstr>COMISIONES</vt:lpstr>
      <vt:lpstr>LOGOS</vt:lpstr>
      <vt:lpstr>RELACION FACTURAS</vt:lpstr>
      <vt:lpstr>NEW DATA</vt:lpstr>
      <vt:lpstr>FAMILIA DE CARGOS</vt:lpstr>
      <vt:lpstr>DATA</vt:lpstr>
      <vt:lpstr>ADM</vt:lpstr>
      <vt:lpstr>COMISIONES!Área_de_impresión</vt:lpstr>
      <vt:lpstr>'RELACION FACTURAS'!Área_de_impresión</vt:lpstr>
      <vt:lpstr>BCAFE</vt:lpstr>
      <vt:lpstr>BUENCAFE_LIOFILIZADO_DE_COLOMBIA</vt:lpstr>
      <vt:lpstr>CARG</vt:lpstr>
      <vt:lpstr>CENIC</vt:lpstr>
      <vt:lpstr>CENTRO_NACIONAL_DE_INVESTIGACIONES_DE_CAFE_CENICAFE</vt:lpstr>
      <vt:lpstr>COM</vt:lpstr>
      <vt:lpstr>COMITE_DEPARTAMENTAL_DE_CAFETEROS_DE_ANTIOQUIA</vt:lpstr>
      <vt:lpstr>COMITE_DEPARTAMENTAL_DE_CAFETEROS_DE_BOYACA</vt:lpstr>
      <vt:lpstr>COMITE_DEPARTAMENTAL_DE_CAFETEROS_DE_CALDAS</vt:lpstr>
      <vt:lpstr>COMITE_DEPARTAMENTAL_DE_CAFETEROS_DE_CAUCA</vt:lpstr>
      <vt:lpstr>COMITE_DEPARTAMENTAL_DE_CAFETEROS_DE_CESAR_Y_GUAJIRA</vt:lpstr>
      <vt:lpstr>COMITE_DEPARTAMENTAL_DE_CAFETEROS_DE_CUNDINAMARCA</vt:lpstr>
      <vt:lpstr>COMITE_DEPARTAMENTAL_DE_CAFETEROS_DE_HUILA</vt:lpstr>
      <vt:lpstr>COMITE_DEPARTAMENTAL_DE_CAFETEROS_DE_MAGDALENA</vt:lpstr>
      <vt:lpstr>COMITE_DEPARTAMENTAL_DE_CAFETEROS_DE_NARIÑO</vt:lpstr>
      <vt:lpstr>COMITE_DEPARTAMENTAL_DE_CAFETEROS_DE_NORTE_DE_SANTANDER</vt:lpstr>
      <vt:lpstr>COMITE_DEPARTAMENTAL_DE_CAFETEROS_DE_QUINDIO</vt:lpstr>
      <vt:lpstr>COMITE_DEPARTAMENTAL_DE_CAFETEROS_DE_RISARALDA</vt:lpstr>
      <vt:lpstr>COMITE_DEPARTAMENTAL_DE_CAFETEROS_DE_SANTANDER</vt:lpstr>
      <vt:lpstr>COMITE_DEPARTAMENTAL_DE_CAFETEROS_DE_TOLIMA</vt:lpstr>
      <vt:lpstr>COMITE_DEPARTAMENTAL_DE_CAFETEROS_DE_VALLE</vt:lpstr>
      <vt:lpstr>COMU</vt:lpstr>
      <vt:lpstr>COOR</vt:lpstr>
      <vt:lpstr>Depen</vt:lpstr>
      <vt:lpstr>Dependencias</vt:lpstr>
      <vt:lpstr>DIA</vt:lpstr>
      <vt:lpstr>EMP</vt:lpstr>
      <vt:lpstr>FIN</vt:lpstr>
      <vt:lpstr>GEN</vt:lpstr>
      <vt:lpstr>I</vt:lpstr>
      <vt:lpstr>IE</vt:lpstr>
      <vt:lpstr>II</vt:lpstr>
      <vt:lpstr>IIE</vt:lpstr>
      <vt:lpstr>III</vt:lpstr>
      <vt:lpstr>IIIE</vt:lpstr>
      <vt:lpstr>INSP</vt:lpstr>
      <vt:lpstr>INSPECCION_CAFETERA_DE_BUENAVENTURA</vt:lpstr>
      <vt:lpstr>INSPECCION_CAFETERA_DE_CARTAGENA</vt:lpstr>
      <vt:lpstr>INSPECCION_CAFETERA_DE_SANTA_MARTA</vt:lpstr>
      <vt:lpstr>LOGOALMACAFE</vt:lpstr>
      <vt:lpstr>LOGOFNC</vt:lpstr>
      <vt:lpstr>MEDIO</vt:lpstr>
      <vt:lpstr>MEDIODEPAGO</vt:lpstr>
      <vt:lpstr>MES</vt:lpstr>
      <vt:lpstr>NIVEL3</vt:lpstr>
      <vt:lpstr>NIVEL4</vt:lpstr>
      <vt:lpstr>OFICINAS_COORDINADORAS_Y_OTROS_TERRITORIOS</vt:lpstr>
      <vt:lpstr>PROCESO</vt:lpstr>
      <vt:lpstr>PRY</vt:lpstr>
      <vt:lpstr>PUESTOS</vt:lpstr>
      <vt:lpstr>SEDE_BOGOTA</vt:lpstr>
      <vt:lpstr>TEC</vt:lpstr>
      <vt:lpstr>TERRITORIOS_CAFETEROS_DE_LA_ORINOQUIA_Y_LA_AMAZONIA</vt:lpstr>
      <vt:lpstr>TIPO</vt:lpstr>
      <vt:lpstr>'RELACION FACTURAS'!Títulos_a_imprimir</vt:lpstr>
      <vt:lpstr>USD</vt:lpstr>
      <vt:lpstr>V</vt:lpstr>
      <vt:lpstr>x</vt:lpstr>
    </vt:vector>
  </TitlesOfParts>
  <Company>FEDERACION DE CAFETEROS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YURANY ROJAS PARDO</dc:creator>
  <cp:lastModifiedBy>LUZ STELLA FORERO SEGUNDA</cp:lastModifiedBy>
  <cp:lastPrinted>2019-12-23T19:54:13Z</cp:lastPrinted>
  <dcterms:created xsi:type="dcterms:W3CDTF">1997-12-23T15:14:03Z</dcterms:created>
  <dcterms:modified xsi:type="dcterms:W3CDTF">2026-03-16T19:50:58Z</dcterms:modified>
</cp:coreProperties>
</file>