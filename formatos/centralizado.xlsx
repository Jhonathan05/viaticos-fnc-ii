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FNC-nayibe.montana\GESTION HUMANA 2024\NAYIBE GH\VIATICOS\VIATICOS 2026\"/>
    </mc:Choice>
  </mc:AlternateContent>
  <bookViews>
    <workbookView xWindow="0" yWindow="0" windowWidth="28800" windowHeight="11535" activeTab="1"/>
  </bookViews>
  <sheets>
    <sheet name="INSTRUCTIVO" sheetId="2" r:id="rId1"/>
    <sheet name="FORMATO" sheetId="1" r:id="rId2"/>
  </sheets>
  <definedNames>
    <definedName name="_xlnm.Print_Area" localSheetId="1">FORMATO!$A$1:$H$4</definedName>
    <definedName name="_xlnm.Print_Area" localSheetId="0">INSTRUCTIVO!$A$1:$J$39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" l="1"/>
  <c r="F14" i="1" l="1"/>
  <c r="F13" i="1"/>
  <c r="E13" i="1"/>
</calcChain>
</file>

<file path=xl/sharedStrings.xml><?xml version="1.0" encoding="utf-8"?>
<sst xmlns="http://schemas.openxmlformats.org/spreadsheetml/2006/main" count="90" uniqueCount="40">
  <si>
    <t>1.</t>
  </si>
  <si>
    <t>2.</t>
  </si>
  <si>
    <t>INSTRUCTIVO</t>
  </si>
  <si>
    <t>1
Cédula Empleado</t>
  </si>
  <si>
    <t>2
Concepto</t>
  </si>
  <si>
    <t>3
Fecha de Pago (Ultimo día del mes de nómina)</t>
  </si>
  <si>
    <t>4
Fecha Aplica Novedad (Ultimo día del mes de nómina)</t>
  </si>
  <si>
    <t>5
Número (siempre incluir el número 0)</t>
  </si>
  <si>
    <t>6
Valor anticipo o gasto</t>
  </si>
  <si>
    <t>7
Observación de Legalización</t>
  </si>
  <si>
    <t>8
Destino</t>
  </si>
  <si>
    <t>FEDERACIÓN NACIONAL DE CAFETEROS DE COLOMBIA</t>
  </si>
  <si>
    <t>LEGALIZACIÓN COMISIONES DE TRABAJO DEPENDENCIAS</t>
  </si>
  <si>
    <t>CÓDIGO:</t>
  </si>
  <si>
    <t>FECHA:</t>
  </si>
  <si>
    <t>VERSIÓN:</t>
  </si>
  <si>
    <t xml:space="preserve">    incluir un (*)al inicio del documento del anticipo. Ejemplo:  Cali del 4 al 8 *30005467898</t>
  </si>
  <si>
    <r>
      <t xml:space="preserve">3. FECHA DE PAGO: </t>
    </r>
    <r>
      <rPr>
        <sz val="12"/>
        <color theme="1"/>
        <rFont val="Calibri"/>
        <family val="2"/>
        <scheme val="minor"/>
      </rPr>
      <t>Indique la fecha en la cual se efectúa la compensación. Ultimo día del mes en curso. FORMATO--&gt; DD/MM/AAAA.</t>
    </r>
  </si>
  <si>
    <r>
      <rPr>
        <b/>
        <sz val="12"/>
        <color theme="1"/>
        <rFont val="Calibri"/>
        <family val="2"/>
        <scheme val="minor"/>
      </rPr>
      <t>4. FECHA APLICACIÓN DE NOVEDAD:</t>
    </r>
    <r>
      <rPr>
        <sz val="12"/>
        <color theme="1"/>
        <rFont val="Calibri"/>
        <family val="2"/>
        <scheme val="minor"/>
      </rPr>
      <t xml:space="preserve"> Indique la fecha desde la cual opera la novedad. Ultimo día del mes en curso. FORMATO--&gt; DD/MM/AAAA.</t>
    </r>
  </si>
  <si>
    <r>
      <rPr>
        <b/>
        <sz val="12"/>
        <color theme="1"/>
        <rFont val="Calibri"/>
        <family val="2"/>
        <scheme val="minor"/>
      </rPr>
      <t>5. NÚMERO:</t>
    </r>
    <r>
      <rPr>
        <sz val="12"/>
        <color theme="1"/>
        <rFont val="Calibri"/>
        <family val="2"/>
        <scheme val="minor"/>
      </rPr>
      <t xml:space="preserve"> Columna requerida en el sistema para el cargue. En este caso siempre se debe ingresar el número cero (0).</t>
    </r>
  </si>
  <si>
    <r>
      <rPr>
        <b/>
        <sz val="12"/>
        <color theme="1"/>
        <rFont val="Calibri"/>
        <family val="2"/>
        <scheme val="minor"/>
      </rPr>
      <t>6. VALOR</t>
    </r>
    <r>
      <rPr>
        <b/>
        <sz val="12"/>
        <rFont val="Calibri"/>
        <family val="2"/>
        <scheme val="minor"/>
      </rPr>
      <t xml:space="preserve"> DE CONCEPTO</t>
    </r>
    <r>
      <rPr>
        <b/>
        <sz val="12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Se ingresa el valor del concepto a legalizar (</t>
    </r>
    <r>
      <rPr>
        <sz val="12"/>
        <rFont val="Calibri"/>
        <family val="2"/>
        <scheme val="minor"/>
      </rPr>
      <t>El valor no debe tener puntos, comas, espacios o formato de moneda).</t>
    </r>
  </si>
  <si>
    <r>
      <t>7. OBSERVACIÓN DE LEGALIZACIÓN:</t>
    </r>
    <r>
      <rPr>
        <sz val="12"/>
        <color theme="1"/>
        <rFont val="Calibri"/>
        <family val="2"/>
        <scheme val="minor"/>
      </rPr>
      <t xml:space="preserve"> Se debe indicar el lugar, fechas del viaje y número de anticipo de haber solicitado,</t>
    </r>
  </si>
  <si>
    <r>
      <rPr>
        <b/>
        <sz val="12"/>
        <color theme="1"/>
        <rFont val="Calibri"/>
        <family val="2"/>
        <scheme val="minor"/>
      </rPr>
      <t>8. DESTINO:</t>
    </r>
    <r>
      <rPr>
        <sz val="12"/>
        <color theme="1"/>
        <rFont val="Calibri"/>
        <family val="2"/>
        <scheme val="minor"/>
      </rPr>
      <t xml:space="preserve">  Marque </t>
    </r>
    <r>
      <rPr>
        <b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 xml:space="preserve"> si la comisión fue nacional o</t>
    </r>
    <r>
      <rPr>
        <b/>
        <sz val="12"/>
        <color theme="1"/>
        <rFont val="Calibri"/>
        <family val="2"/>
        <scheme val="minor"/>
      </rPr>
      <t xml:space="preserve"> E</t>
    </r>
    <r>
      <rPr>
        <sz val="12"/>
        <color theme="1"/>
        <rFont val="Calibri"/>
        <family val="2"/>
        <scheme val="minor"/>
      </rPr>
      <t xml:space="preserve"> si fue al exterior. </t>
    </r>
  </si>
  <si>
    <r>
      <rPr>
        <b/>
        <sz val="12"/>
        <rFont val="Calibri"/>
        <family val="2"/>
        <scheme val="minor"/>
      </rPr>
      <t>CÉDULA:</t>
    </r>
    <r>
      <rPr>
        <sz val="12"/>
        <rFont val="Calibri"/>
        <family val="2"/>
        <scheme val="minor"/>
      </rPr>
      <t xml:space="preserve"> Ingrese número de cédula del trabajador sin comas ni puntos</t>
    </r>
  </si>
  <si>
    <r>
      <rPr>
        <b/>
        <sz val="12"/>
        <rFont val="Calibri"/>
        <family val="2"/>
        <scheme val="minor"/>
      </rPr>
      <t>CONCEPTO:</t>
    </r>
    <r>
      <rPr>
        <sz val="12"/>
        <rFont val="Calibri"/>
        <family val="2"/>
        <scheme val="minor"/>
      </rPr>
      <t xml:space="preserve"> Corresponde al código parametrizado en el sistema; se debe ingresar en cada fila la información relacionada.</t>
    </r>
  </si>
  <si>
    <t xml:space="preserve">Los conceptos utilizados para las legalizaciones de las comisiones de trabajo en nómina son los siguientes: </t>
  </si>
  <si>
    <t>FE-GH-F-0157</t>
  </si>
  <si>
    <t>N</t>
  </si>
  <si>
    <t>FERNANDO PEREZ</t>
  </si>
  <si>
    <t>JESSICA CABEZAS</t>
  </si>
  <si>
    <t>GILDARDO MONROY</t>
  </si>
  <si>
    <t>CARLOS ANDRES CUARTAS</t>
  </si>
  <si>
    <t>IBAGUE CAJAMARCA IBAGUE EL 15 IBAGUE ORTEGA IBAGUE EL 21</t>
  </si>
  <si>
    <t>IBAGUE ORTEGA EL 2 EL 13 IBAGUE PLANADAS DEL 13 AL 14 IBAGUE LIBANO EL 18</t>
  </si>
  <si>
    <t>IBAGUE CASABIANCA IBAGUE EL 10 IBAGUE PRADO IBAGUE EL 11</t>
  </si>
  <si>
    <t>JUAN CAMILO SANDOVAL</t>
  </si>
  <si>
    <t>IBAGUE RIOBLANCO IBAGUE EL 18 DE NOVIEMBRE</t>
  </si>
  <si>
    <t>JHONATHAN ARMANDO CAMARGO</t>
  </si>
  <si>
    <t>IBAGUE VENADILLO JUNIN VENADILLO IBAGUE EL 18</t>
  </si>
  <si>
    <t>IBAGUE LIBANO IBAGUE 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</si>
</sst>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mic Sans MS"/>
      <family val="4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ck">
        <color indexed="26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14" fillId="0" borderId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3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5">
    <xf numFmtId="0" fontId="0" fillId="0" borderId="0" xfId="0"/>
    <xf numFmtId="0" fontId="5" fillId="2" borderId="1" xfId="2" applyFont="1" applyFill="1" applyBorder="1" applyAlignment="1">
      <alignment horizontal="left"/>
    </xf>
    <xf numFmtId="0" fontId="7" fillId="2" borderId="0" xfId="2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8" fillId="2" borderId="0" xfId="2" applyFont="1" applyFill="1" applyBorder="1" applyAlignment="1">
      <alignment horizontal="left"/>
    </xf>
    <xf numFmtId="0" fontId="0" fillId="0" borderId="11" xfId="0" applyFont="1" applyBorder="1"/>
    <xf numFmtId="0" fontId="0" fillId="0" borderId="12" xfId="0" applyFont="1" applyBorder="1"/>
    <xf numFmtId="0" fontId="10" fillId="0" borderId="6" xfId="0" applyFont="1" applyFill="1" applyBorder="1" applyAlignment="1">
      <alignment horizontal="center"/>
    </xf>
    <xf numFmtId="0" fontId="8" fillId="2" borderId="6" xfId="2" applyFont="1" applyFill="1" applyBorder="1"/>
    <xf numFmtId="0" fontId="4" fillId="0" borderId="0" xfId="0" applyFont="1" applyBorder="1"/>
    <xf numFmtId="0" fontId="0" fillId="0" borderId="0" xfId="0" applyFont="1" applyBorder="1"/>
    <xf numFmtId="0" fontId="9" fillId="2" borderId="6" xfId="2" applyFont="1" applyFill="1" applyBorder="1"/>
    <xf numFmtId="0" fontId="1" fillId="0" borderId="0" xfId="0" applyFont="1" applyBorder="1"/>
    <xf numFmtId="14" fontId="0" fillId="0" borderId="0" xfId="0" applyNumberFormat="1" applyFont="1" applyBorder="1"/>
    <xf numFmtId="0" fontId="0" fillId="0" borderId="6" xfId="0" applyFont="1" applyBorder="1"/>
    <xf numFmtId="0" fontId="6" fillId="0" borderId="6" xfId="0" applyFont="1" applyBorder="1"/>
    <xf numFmtId="0" fontId="4" fillId="0" borderId="6" xfId="0" applyFont="1" applyBorder="1"/>
    <xf numFmtId="0" fontId="0" fillId="0" borderId="10" xfId="0" applyFont="1" applyBorder="1"/>
    <xf numFmtId="0" fontId="0" fillId="0" borderId="8" xfId="0" applyFont="1" applyBorder="1"/>
    <xf numFmtId="0" fontId="0" fillId="5" borderId="0" xfId="0" applyFont="1" applyFill="1"/>
    <xf numFmtId="0" fontId="0" fillId="5" borderId="0" xfId="0" applyFill="1"/>
    <xf numFmtId="0" fontId="11" fillId="5" borderId="0" xfId="0" applyFont="1" applyFill="1" applyBorder="1" applyAlignment="1">
      <alignment horizontal="center"/>
    </xf>
    <xf numFmtId="0" fontId="0" fillId="5" borderId="0" xfId="0" applyFill="1" applyBorder="1"/>
    <xf numFmtId="0" fontId="0" fillId="5" borderId="0" xfId="0" applyFont="1" applyFill="1" applyBorder="1"/>
    <xf numFmtId="0" fontId="12" fillId="5" borderId="0" xfId="0" applyFont="1" applyFill="1" applyBorder="1"/>
    <xf numFmtId="0" fontId="0" fillId="6" borderId="6" xfId="0" applyFont="1" applyFill="1" applyBorder="1"/>
    <xf numFmtId="0" fontId="0" fillId="6" borderId="0" xfId="0" applyFont="1" applyFill="1" applyBorder="1"/>
    <xf numFmtId="0" fontId="0" fillId="6" borderId="0" xfId="0" applyFont="1" applyFill="1"/>
    <xf numFmtId="0" fontId="0" fillId="0" borderId="6" xfId="0" applyFont="1" applyFill="1" applyBorder="1"/>
    <xf numFmtId="0" fontId="0" fillId="0" borderId="0" xfId="0" applyFont="1" applyFill="1" applyBorder="1"/>
    <xf numFmtId="0" fontId="0" fillId="0" borderId="0" xfId="0" applyFont="1" applyBorder="1" applyAlignment="1"/>
    <xf numFmtId="0" fontId="0" fillId="0" borderId="13" xfId="0" applyFont="1" applyBorder="1" applyAlignment="1">
      <alignment horizontal="left"/>
    </xf>
    <xf numFmtId="0" fontId="0" fillId="0" borderId="13" xfId="0" applyFont="1" applyBorder="1" applyAlignment="1">
      <alignment horizontal="right"/>
    </xf>
    <xf numFmtId="14" fontId="0" fillId="0" borderId="13" xfId="0" applyNumberFormat="1" applyFont="1" applyBorder="1" applyAlignment="1"/>
    <xf numFmtId="0" fontId="0" fillId="0" borderId="13" xfId="0" applyFont="1" applyBorder="1" applyAlignment="1">
      <alignment horizontal="center"/>
    </xf>
    <xf numFmtId="0" fontId="15" fillId="3" borderId="14" xfId="1" applyFont="1" applyFill="1" applyBorder="1" applyAlignment="1" applyProtection="1">
      <alignment horizontal="center" vertical="center" wrapText="1"/>
      <protection hidden="1"/>
    </xf>
    <xf numFmtId="0" fontId="15" fillId="3" borderId="15" xfId="1" applyFont="1" applyFill="1" applyBorder="1" applyAlignment="1" applyProtection="1">
      <alignment horizontal="center" vertical="center" wrapText="1"/>
      <protection hidden="1"/>
    </xf>
    <xf numFmtId="0" fontId="3" fillId="3" borderId="16" xfId="1" applyFont="1" applyFill="1" applyBorder="1" applyAlignment="1" applyProtection="1">
      <alignment horizontal="center" vertical="center" wrapText="1"/>
      <protection hidden="1"/>
    </xf>
    <xf numFmtId="0" fontId="0" fillId="0" borderId="9" xfId="0" applyFont="1" applyFill="1" applyBorder="1"/>
    <xf numFmtId="14" fontId="0" fillId="0" borderId="0" xfId="0" applyNumberFormat="1" applyFont="1" applyFill="1" applyBorder="1"/>
    <xf numFmtId="0" fontId="0" fillId="0" borderId="0" xfId="0" applyFont="1" applyFill="1"/>
    <xf numFmtId="0" fontId="0" fillId="0" borderId="0" xfId="0" applyFont="1" applyFill="1" applyBorder="1" applyAlignment="1">
      <alignment horizontal="left"/>
    </xf>
    <xf numFmtId="0" fontId="0" fillId="0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</cellXfs>
  <cellStyles count="10">
    <cellStyle name="Millares [0] 2" xfId="6"/>
    <cellStyle name="Millares 2" xfId="5"/>
    <cellStyle name="Millares 3" xfId="9"/>
    <cellStyle name="Normal" xfId="0" builtinId="0"/>
    <cellStyle name="Normal 2" xfId="7"/>
    <cellStyle name="Normal 2 3" xfId="3"/>
    <cellStyle name="Normal 3" xfId="4"/>
    <cellStyle name="Normal_Hoja1" xfId="1"/>
    <cellStyle name="Normal_HORAS EXTRAS" xfId="2"/>
    <cellStyle name="Porcentaje 2" xfId="8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</xdr:row>
      <xdr:rowOff>28575</xdr:rowOff>
    </xdr:from>
    <xdr:to>
      <xdr:col>10</xdr:col>
      <xdr:colOff>142875</xdr:colOff>
      <xdr:row>29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647825"/>
          <a:ext cx="8915400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781050</xdr:colOff>
      <xdr:row>2</xdr:row>
      <xdr:rowOff>285750</xdr:rowOff>
    </xdr:to>
    <xdr:pic>
      <xdr:nvPicPr>
        <xdr:cNvPr id="2" name="Picture 5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0"/>
          <a:ext cx="1562101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showGridLines="0" zoomScaleNormal="100" workbookViewId="0">
      <selection activeCell="D32" sqref="D32"/>
    </sheetView>
  </sheetViews>
  <sheetFormatPr baseColWidth="10" defaultColWidth="11.42578125" defaultRowHeight="15" x14ac:dyDescent="0.25"/>
  <cols>
    <col min="1" max="1" width="4.5703125" style="19" customWidth="1"/>
    <col min="2" max="2" width="11.42578125" style="19"/>
    <col min="3" max="3" width="15.85546875" style="19" customWidth="1"/>
    <col min="4" max="5" width="11.42578125" style="19"/>
    <col min="6" max="6" width="15.28515625" style="19" customWidth="1"/>
    <col min="7" max="8" width="11.42578125" style="19"/>
    <col min="9" max="9" width="32" style="19" customWidth="1"/>
    <col min="10" max="10" width="11.42578125" style="19"/>
    <col min="11" max="11" width="11.42578125" style="23"/>
    <col min="12" max="16384" width="11.42578125" style="19"/>
  </cols>
  <sheetData>
    <row r="1" spans="1:12" ht="15.75" thickBot="1" x14ac:dyDescent="0.3">
      <c r="A1" s="5"/>
      <c r="B1" s="6"/>
      <c r="C1" s="6"/>
      <c r="D1" s="6"/>
      <c r="E1" s="6"/>
      <c r="F1" s="6"/>
      <c r="G1" s="6"/>
      <c r="H1" s="6"/>
      <c r="I1" s="6"/>
      <c r="J1" s="6"/>
    </row>
    <row r="2" spans="1:12" ht="19.5" thickBot="1" x14ac:dyDescent="0.35">
      <c r="A2" s="43" t="s">
        <v>2</v>
      </c>
      <c r="B2" s="44"/>
      <c r="C2" s="44"/>
      <c r="D2" s="44"/>
      <c r="E2" s="44"/>
      <c r="F2" s="44"/>
      <c r="G2" s="44"/>
      <c r="H2" s="44"/>
      <c r="I2" s="44"/>
      <c r="J2" s="45"/>
      <c r="K2" s="22"/>
      <c r="L2" s="20"/>
    </row>
    <row r="3" spans="1:12" ht="18.75" x14ac:dyDescent="0.3">
      <c r="A3" s="7"/>
      <c r="B3" s="3"/>
      <c r="C3" s="3"/>
      <c r="D3" s="3"/>
      <c r="E3" s="3"/>
      <c r="F3" s="3"/>
      <c r="G3" s="3"/>
      <c r="H3" s="3"/>
      <c r="I3" s="3"/>
      <c r="J3" s="3"/>
      <c r="K3" s="21"/>
      <c r="L3" s="21"/>
    </row>
    <row r="4" spans="1:12" ht="15.75" x14ac:dyDescent="0.25">
      <c r="A4" s="8" t="s">
        <v>0</v>
      </c>
      <c r="B4" s="1" t="s">
        <v>23</v>
      </c>
      <c r="C4" s="9"/>
      <c r="D4" s="9"/>
      <c r="E4" s="10"/>
      <c r="F4" s="10"/>
      <c r="G4" s="10"/>
      <c r="H4" s="10"/>
      <c r="I4" s="10"/>
      <c r="J4" s="10"/>
    </row>
    <row r="5" spans="1:12" ht="15.75" x14ac:dyDescent="0.25">
      <c r="A5" s="8" t="s">
        <v>1</v>
      </c>
      <c r="B5" s="1" t="s">
        <v>24</v>
      </c>
      <c r="C5" s="9"/>
      <c r="D5" s="9"/>
      <c r="E5" s="10"/>
      <c r="F5" s="10"/>
      <c r="G5" s="10"/>
      <c r="H5" s="10"/>
      <c r="I5" s="10"/>
      <c r="J5" s="10"/>
    </row>
    <row r="6" spans="1:12" ht="11.25" customHeight="1" x14ac:dyDescent="0.25">
      <c r="A6" s="11"/>
      <c r="B6" s="2"/>
      <c r="C6" s="10"/>
      <c r="D6" s="10"/>
      <c r="E6" s="10"/>
      <c r="F6" s="10"/>
      <c r="G6" s="10"/>
      <c r="H6" s="10"/>
      <c r="I6" s="10"/>
      <c r="J6" s="10"/>
    </row>
    <row r="7" spans="1:12" ht="15.75" x14ac:dyDescent="0.25">
      <c r="A7" s="11"/>
      <c r="B7" s="4" t="s">
        <v>25</v>
      </c>
      <c r="C7" s="10"/>
      <c r="D7" s="12"/>
      <c r="E7" s="13"/>
      <c r="F7" s="13"/>
      <c r="G7" s="10"/>
      <c r="H7" s="10"/>
      <c r="I7" s="10"/>
      <c r="J7" s="10"/>
    </row>
    <row r="8" spans="1:12" x14ac:dyDescent="0.25">
      <c r="A8" s="11"/>
      <c r="B8" s="10"/>
      <c r="C8" s="10"/>
      <c r="D8" s="12"/>
      <c r="E8" s="13"/>
      <c r="F8" s="13"/>
      <c r="G8" s="10"/>
      <c r="H8" s="10"/>
      <c r="I8" s="10"/>
      <c r="J8" s="10"/>
    </row>
    <row r="9" spans="1:12" x14ac:dyDescent="0.25">
      <c r="A9" s="14"/>
      <c r="B9" s="10"/>
      <c r="C9" s="10"/>
      <c r="D9" s="10"/>
      <c r="E9" s="10"/>
      <c r="F9" s="10"/>
      <c r="G9" s="10"/>
      <c r="H9" s="10"/>
      <c r="I9" s="10"/>
      <c r="J9" s="10"/>
    </row>
    <row r="10" spans="1:12" ht="17.25" customHeight="1" x14ac:dyDescent="0.25">
      <c r="A10" s="14"/>
      <c r="B10" s="10"/>
      <c r="C10" s="10"/>
      <c r="D10" s="10"/>
      <c r="E10" s="10"/>
      <c r="F10" s="10"/>
      <c r="G10" s="10"/>
      <c r="H10" s="10"/>
      <c r="I10" s="10"/>
      <c r="J10" s="10"/>
    </row>
    <row r="11" spans="1:12" x14ac:dyDescent="0.25">
      <c r="A11" s="14"/>
      <c r="B11" s="10"/>
      <c r="C11" s="10"/>
      <c r="D11" s="10"/>
      <c r="E11" s="10"/>
      <c r="F11" s="10"/>
      <c r="G11" s="10"/>
      <c r="H11" s="10"/>
      <c r="I11" s="10"/>
      <c r="J11" s="10"/>
    </row>
    <row r="12" spans="1:12" x14ac:dyDescent="0.25">
      <c r="A12" s="14"/>
      <c r="B12" s="10"/>
      <c r="C12" s="10"/>
      <c r="D12" s="10"/>
      <c r="E12" s="10"/>
      <c r="F12" s="10"/>
      <c r="G12" s="10"/>
      <c r="H12" s="10"/>
      <c r="I12" s="10"/>
      <c r="J12" s="10"/>
    </row>
    <row r="13" spans="1:12" x14ac:dyDescent="0.25">
      <c r="A13" s="14"/>
      <c r="B13" s="10"/>
      <c r="C13" s="10"/>
      <c r="D13" s="10"/>
      <c r="E13" s="10"/>
      <c r="F13" s="10"/>
      <c r="G13" s="10"/>
      <c r="H13" s="10"/>
      <c r="I13" s="10"/>
      <c r="J13" s="10"/>
    </row>
    <row r="14" spans="1:12" x14ac:dyDescent="0.25">
      <c r="A14" s="14"/>
      <c r="B14" s="10"/>
      <c r="C14" s="10"/>
      <c r="D14" s="10"/>
      <c r="E14" s="10"/>
      <c r="F14" s="10"/>
      <c r="G14" s="10"/>
      <c r="H14" s="10"/>
      <c r="I14" s="10"/>
      <c r="J14" s="10"/>
    </row>
    <row r="15" spans="1:12" x14ac:dyDescent="0.25">
      <c r="A15" s="14"/>
      <c r="B15" s="10"/>
      <c r="C15" s="10"/>
      <c r="D15" s="10"/>
      <c r="E15" s="10"/>
      <c r="F15" s="10"/>
      <c r="G15" s="10"/>
      <c r="H15" s="10"/>
      <c r="I15" s="10"/>
      <c r="J15" s="10"/>
    </row>
    <row r="16" spans="1:12" x14ac:dyDescent="0.25">
      <c r="A16" s="14"/>
      <c r="B16" s="10"/>
      <c r="C16" s="10"/>
      <c r="D16" s="10"/>
      <c r="E16" s="10"/>
      <c r="F16" s="10"/>
      <c r="G16" s="10"/>
      <c r="H16" s="10"/>
      <c r="I16" s="10"/>
      <c r="J16" s="10"/>
    </row>
    <row r="17" spans="1:11" x14ac:dyDescent="0.25">
      <c r="A17" s="14"/>
      <c r="B17" s="10"/>
      <c r="C17" s="10"/>
      <c r="D17" s="10"/>
      <c r="E17" s="10"/>
      <c r="F17" s="10"/>
      <c r="G17" s="10"/>
      <c r="H17" s="10"/>
      <c r="I17" s="10"/>
      <c r="J17" s="10"/>
    </row>
    <row r="18" spans="1:11" x14ac:dyDescent="0.25">
      <c r="A18" s="14"/>
      <c r="B18" s="10"/>
      <c r="C18" s="10"/>
      <c r="D18" s="10"/>
      <c r="E18" s="10"/>
      <c r="F18" s="10"/>
      <c r="G18" s="10"/>
      <c r="H18" s="10"/>
      <c r="I18" s="10"/>
      <c r="J18" s="10"/>
    </row>
    <row r="19" spans="1:11" x14ac:dyDescent="0.25">
      <c r="A19" s="14"/>
      <c r="B19" s="10"/>
      <c r="C19" s="10"/>
      <c r="D19" s="10"/>
      <c r="E19" s="10"/>
      <c r="F19" s="10"/>
      <c r="G19" s="10"/>
      <c r="H19" s="10"/>
      <c r="I19" s="10"/>
      <c r="J19" s="10"/>
      <c r="K19" s="24"/>
    </row>
    <row r="20" spans="1:11" x14ac:dyDescent="0.25">
      <c r="A20" s="14"/>
      <c r="B20" s="10"/>
      <c r="C20" s="10"/>
      <c r="D20" s="10"/>
      <c r="E20" s="10"/>
      <c r="F20" s="10"/>
      <c r="G20" s="10"/>
      <c r="H20" s="10"/>
      <c r="I20" s="10"/>
      <c r="J20" s="10"/>
    </row>
    <row r="21" spans="1:11" x14ac:dyDescent="0.25">
      <c r="A21" s="14"/>
      <c r="B21" s="10"/>
      <c r="C21" s="10"/>
      <c r="D21" s="10"/>
      <c r="E21" s="10"/>
      <c r="F21" s="10"/>
      <c r="G21" s="10"/>
      <c r="H21" s="10"/>
      <c r="I21" s="10"/>
      <c r="J21" s="10"/>
    </row>
    <row r="22" spans="1:11" x14ac:dyDescent="0.25">
      <c r="A22" s="14"/>
      <c r="B22" s="10"/>
      <c r="C22" s="10"/>
      <c r="D22" s="10"/>
      <c r="E22" s="10"/>
      <c r="F22" s="10"/>
      <c r="G22" s="10"/>
      <c r="H22" s="10"/>
      <c r="I22" s="10"/>
      <c r="J22" s="10"/>
    </row>
    <row r="23" spans="1:11" x14ac:dyDescent="0.25">
      <c r="A23" s="14"/>
      <c r="B23" s="10"/>
      <c r="C23" s="10"/>
      <c r="D23" s="10"/>
      <c r="E23" s="10"/>
      <c r="F23" s="10"/>
      <c r="G23" s="10"/>
      <c r="H23" s="10"/>
      <c r="I23" s="10"/>
      <c r="J23" s="10"/>
    </row>
    <row r="24" spans="1:11" x14ac:dyDescent="0.25">
      <c r="A24" s="14"/>
      <c r="B24" s="10"/>
      <c r="C24" s="10"/>
      <c r="D24" s="10"/>
      <c r="E24" s="10"/>
      <c r="F24" s="10"/>
      <c r="G24" s="10"/>
      <c r="H24" s="10"/>
      <c r="I24" s="10"/>
      <c r="J24" s="10"/>
    </row>
    <row r="25" spans="1:11" x14ac:dyDescent="0.25">
      <c r="A25" s="14"/>
      <c r="B25" s="10"/>
      <c r="C25" s="10"/>
      <c r="D25" s="10"/>
      <c r="E25" s="10"/>
      <c r="F25" s="10"/>
      <c r="G25" s="10"/>
      <c r="H25" s="10"/>
      <c r="I25" s="10"/>
      <c r="J25" s="10"/>
    </row>
    <row r="26" spans="1:11" x14ac:dyDescent="0.25">
      <c r="A26" s="14"/>
      <c r="B26" s="10"/>
      <c r="C26" s="10"/>
      <c r="D26" s="10"/>
      <c r="E26" s="10"/>
      <c r="F26" s="10"/>
      <c r="G26" s="10"/>
      <c r="H26" s="10"/>
      <c r="I26" s="10"/>
      <c r="J26" s="10"/>
    </row>
    <row r="27" spans="1:11" x14ac:dyDescent="0.25">
      <c r="A27" s="14"/>
      <c r="B27" s="10"/>
      <c r="C27" s="10"/>
      <c r="D27" s="10"/>
      <c r="E27" s="10"/>
      <c r="F27" s="10"/>
      <c r="G27" s="10"/>
      <c r="H27" s="10"/>
      <c r="I27" s="10"/>
      <c r="J27" s="10"/>
      <c r="K27" s="24"/>
    </row>
    <row r="28" spans="1:11" x14ac:dyDescent="0.25">
      <c r="A28" s="14"/>
      <c r="B28" s="10"/>
      <c r="C28" s="10"/>
      <c r="D28" s="10"/>
      <c r="E28" s="10"/>
      <c r="F28" s="10"/>
      <c r="G28" s="10"/>
      <c r="H28" s="10"/>
      <c r="I28" s="10"/>
      <c r="J28" s="10"/>
    </row>
    <row r="29" spans="1:11" x14ac:dyDescent="0.25">
      <c r="A29" s="14"/>
      <c r="B29" s="10"/>
      <c r="C29" s="10"/>
      <c r="D29" s="10"/>
      <c r="E29" s="10"/>
      <c r="F29" s="10"/>
      <c r="G29" s="10"/>
      <c r="H29" s="10"/>
      <c r="I29" s="10"/>
      <c r="J29" s="10"/>
      <c r="K29" s="24"/>
    </row>
    <row r="30" spans="1:11" x14ac:dyDescent="0.25">
      <c r="A30" s="14"/>
      <c r="B30" s="10"/>
      <c r="C30" s="10"/>
      <c r="D30" s="10"/>
      <c r="E30" s="10"/>
      <c r="F30" s="10"/>
      <c r="G30" s="10"/>
      <c r="H30" s="10"/>
      <c r="I30" s="10"/>
      <c r="J30" s="10"/>
      <c r="K30" s="24"/>
    </row>
    <row r="31" spans="1:11" ht="15.75" x14ac:dyDescent="0.25">
      <c r="A31" s="15" t="s">
        <v>17</v>
      </c>
      <c r="B31" s="9"/>
      <c r="C31" s="9"/>
      <c r="D31" s="10"/>
      <c r="E31" s="10"/>
      <c r="F31" s="10"/>
      <c r="G31" s="10"/>
      <c r="H31" s="10"/>
      <c r="I31" s="10"/>
      <c r="J31" s="10"/>
    </row>
    <row r="32" spans="1:11" ht="15.75" x14ac:dyDescent="0.25">
      <c r="A32" s="16" t="s">
        <v>18</v>
      </c>
      <c r="B32" s="9"/>
      <c r="C32" s="9"/>
      <c r="D32" s="10"/>
      <c r="E32" s="10"/>
      <c r="F32" s="10"/>
      <c r="G32" s="10"/>
      <c r="H32" s="10"/>
      <c r="I32" s="10"/>
      <c r="J32" s="10"/>
    </row>
    <row r="33" spans="1:10" ht="15.75" x14ac:dyDescent="0.25">
      <c r="A33" s="16" t="s">
        <v>19</v>
      </c>
      <c r="B33" s="9"/>
      <c r="C33" s="9"/>
      <c r="D33" s="10"/>
      <c r="E33" s="10"/>
      <c r="F33" s="10"/>
      <c r="G33" s="10"/>
      <c r="H33" s="10"/>
      <c r="I33" s="10"/>
      <c r="J33" s="10"/>
    </row>
    <row r="34" spans="1:10" ht="15.75" x14ac:dyDescent="0.25">
      <c r="A34" s="16" t="s">
        <v>20</v>
      </c>
      <c r="B34" s="9"/>
      <c r="C34" s="9"/>
      <c r="D34" s="10"/>
      <c r="E34" s="10"/>
      <c r="F34" s="10"/>
      <c r="G34" s="10"/>
      <c r="H34" s="10"/>
      <c r="I34" s="10"/>
      <c r="J34" s="10"/>
    </row>
    <row r="35" spans="1:10" ht="15.75" x14ac:dyDescent="0.25">
      <c r="A35" s="15" t="s">
        <v>21</v>
      </c>
      <c r="B35" s="9"/>
      <c r="C35" s="9"/>
      <c r="D35" s="10"/>
      <c r="E35" s="10"/>
      <c r="F35" s="10"/>
      <c r="G35" s="10"/>
      <c r="H35" s="10"/>
      <c r="I35" s="10"/>
      <c r="J35" s="10"/>
    </row>
    <row r="36" spans="1:10" ht="15.75" x14ac:dyDescent="0.25">
      <c r="A36" s="16" t="s">
        <v>16</v>
      </c>
      <c r="B36" s="9"/>
      <c r="C36" s="9"/>
      <c r="D36" s="10"/>
      <c r="E36" s="10"/>
      <c r="F36" s="10"/>
      <c r="G36" s="10"/>
      <c r="H36" s="10"/>
      <c r="I36" s="10"/>
      <c r="J36" s="10"/>
    </row>
    <row r="37" spans="1:10" ht="15.75" x14ac:dyDescent="0.25">
      <c r="A37" s="16" t="s">
        <v>22</v>
      </c>
      <c r="B37" s="9"/>
      <c r="C37" s="9"/>
      <c r="D37" s="10"/>
      <c r="E37" s="10"/>
      <c r="F37" s="10"/>
      <c r="G37" s="10"/>
      <c r="H37" s="10"/>
      <c r="I37" s="10"/>
      <c r="J37" s="10"/>
    </row>
    <row r="38" spans="1:10" ht="15.75" thickBot="1" x14ac:dyDescent="0.3">
      <c r="A38" s="17"/>
      <c r="B38" s="18"/>
      <c r="C38" s="18"/>
      <c r="D38" s="18"/>
      <c r="E38" s="18"/>
      <c r="F38" s="18"/>
      <c r="G38" s="18"/>
      <c r="H38" s="18"/>
      <c r="I38" s="18"/>
      <c r="J38" s="18"/>
    </row>
  </sheetData>
  <mergeCells count="1">
    <mergeCell ref="A2:J2"/>
  </mergeCells>
  <pageMargins left="0.70866141732283472" right="0.70866141732283472" top="0.74803149606299213" bottom="0.74803149606299213" header="0.31496062992125984" footer="0.31496062992125984"/>
  <pageSetup scale="66" orientation="portrait" r:id="rId1"/>
  <headerFooter>
    <oddHeader>&amp;C&amp;14INTRUCTIVO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showGridLines="0" tabSelected="1" zoomScaleNormal="100" workbookViewId="0">
      <selection activeCell="D25" sqref="D25"/>
    </sheetView>
  </sheetViews>
  <sheetFormatPr baseColWidth="10" defaultColWidth="11.42578125" defaultRowHeight="15" x14ac:dyDescent="0.25"/>
  <cols>
    <col min="1" max="1" width="11.85546875" style="28" bestFit="1" customWidth="1"/>
    <col min="2" max="2" width="12.5703125" style="29" customWidth="1"/>
    <col min="3" max="3" width="16.5703125" style="29" customWidth="1"/>
    <col min="4" max="4" width="13.5703125" style="29" customWidth="1"/>
    <col min="5" max="5" width="13" style="29" customWidth="1"/>
    <col min="6" max="6" width="13.5703125" style="29" customWidth="1"/>
    <col min="7" max="7" width="75.42578125" style="29" bestFit="1" customWidth="1"/>
    <col min="8" max="8" width="14.28515625" style="38" customWidth="1"/>
    <col min="9" max="24" width="11.42578125" style="27"/>
    <col min="25" max="16384" width="11.42578125" style="19"/>
  </cols>
  <sheetData>
    <row r="1" spans="1:9" ht="24.75" customHeight="1" thickBot="1" x14ac:dyDescent="0.3">
      <c r="A1" s="25">
        <v>10275366</v>
      </c>
      <c r="B1" s="30"/>
      <c r="C1" s="46" t="s">
        <v>11</v>
      </c>
      <c r="D1" s="47"/>
      <c r="E1" s="47"/>
      <c r="F1" s="48"/>
      <c r="G1" s="31" t="s">
        <v>13</v>
      </c>
      <c r="H1" s="32" t="s">
        <v>26</v>
      </c>
    </row>
    <row r="2" spans="1:9" ht="24.75" customHeight="1" thickBot="1" x14ac:dyDescent="0.3">
      <c r="A2" s="14"/>
      <c r="B2" s="10"/>
      <c r="C2" s="49" t="s">
        <v>12</v>
      </c>
      <c r="D2" s="50"/>
      <c r="E2" s="50"/>
      <c r="F2" s="51"/>
      <c r="G2" s="31" t="s">
        <v>14</v>
      </c>
      <c r="H2" s="33">
        <v>43964</v>
      </c>
    </row>
    <row r="3" spans="1:9" ht="24.75" customHeight="1" thickBot="1" x14ac:dyDescent="0.3">
      <c r="A3" s="14"/>
      <c r="B3" s="10"/>
      <c r="C3" s="52"/>
      <c r="D3" s="53"/>
      <c r="E3" s="53"/>
      <c r="F3" s="54"/>
      <c r="G3" s="31" t="s">
        <v>15</v>
      </c>
      <c r="H3" s="34">
        <v>1</v>
      </c>
    </row>
    <row r="4" spans="1:9" ht="57" thickBot="1" x14ac:dyDescent="0.3">
      <c r="A4" s="35" t="s">
        <v>3</v>
      </c>
      <c r="B4" s="36" t="s">
        <v>4</v>
      </c>
      <c r="C4" s="36" t="s">
        <v>5</v>
      </c>
      <c r="D4" s="36" t="s">
        <v>6</v>
      </c>
      <c r="E4" s="36" t="s">
        <v>7</v>
      </c>
      <c r="F4" s="36" t="s">
        <v>8</v>
      </c>
      <c r="G4" s="36" t="s">
        <v>9</v>
      </c>
      <c r="H4" s="37" t="s">
        <v>10</v>
      </c>
      <c r="I4" s="26"/>
    </row>
    <row r="5" spans="1:9" s="27" customFormat="1" x14ac:dyDescent="0.25">
      <c r="A5" s="28">
        <v>93387546</v>
      </c>
      <c r="B5" s="29">
        <v>2018</v>
      </c>
      <c r="C5" s="39">
        <v>46053</v>
      </c>
      <c r="D5" s="39">
        <v>46053</v>
      </c>
      <c r="E5" s="29">
        <v>0</v>
      </c>
      <c r="F5" s="29">
        <v>18000</v>
      </c>
      <c r="G5" s="41" t="s">
        <v>38</v>
      </c>
      <c r="H5" s="42" t="s">
        <v>27</v>
      </c>
      <c r="I5" s="29" t="s">
        <v>28</v>
      </c>
    </row>
    <row r="6" spans="1:9" s="27" customFormat="1" x14ac:dyDescent="0.25">
      <c r="A6" s="28">
        <v>93387546</v>
      </c>
      <c r="B6" s="29">
        <v>2042</v>
      </c>
      <c r="C6" s="39">
        <v>46053</v>
      </c>
      <c r="D6" s="39">
        <v>46053</v>
      </c>
      <c r="E6" s="29">
        <v>0</v>
      </c>
      <c r="F6" s="29">
        <v>18000</v>
      </c>
      <c r="G6" s="41" t="s">
        <v>38</v>
      </c>
      <c r="H6" s="42" t="s">
        <v>27</v>
      </c>
      <c r="I6" s="29" t="s">
        <v>28</v>
      </c>
    </row>
    <row r="7" spans="1:9" s="27" customFormat="1" x14ac:dyDescent="0.25">
      <c r="A7" s="28">
        <v>93387546</v>
      </c>
      <c r="B7" s="29">
        <v>2024</v>
      </c>
      <c r="C7" s="39">
        <v>46053</v>
      </c>
      <c r="D7" s="39">
        <v>46053</v>
      </c>
      <c r="E7" s="29">
        <v>156</v>
      </c>
      <c r="F7" s="29">
        <v>299988</v>
      </c>
      <c r="G7" s="41" t="s">
        <v>38</v>
      </c>
      <c r="H7" s="42" t="s">
        <v>27</v>
      </c>
      <c r="I7" s="29" t="s">
        <v>28</v>
      </c>
    </row>
    <row r="8" spans="1:9" s="27" customFormat="1" x14ac:dyDescent="0.25">
      <c r="A8" s="28">
        <v>93387546</v>
      </c>
      <c r="B8" s="29">
        <v>2028</v>
      </c>
      <c r="C8" s="39">
        <v>46053</v>
      </c>
      <c r="D8" s="39">
        <v>46053</v>
      </c>
      <c r="E8" s="29">
        <v>0</v>
      </c>
      <c r="F8" s="29">
        <v>31400</v>
      </c>
      <c r="G8" s="41" t="s">
        <v>38</v>
      </c>
      <c r="H8" s="42" t="s">
        <v>27</v>
      </c>
      <c r="I8" s="29" t="s">
        <v>28</v>
      </c>
    </row>
    <row r="9" spans="1:9" x14ac:dyDescent="0.25">
      <c r="A9" s="28">
        <v>5992926</v>
      </c>
      <c r="B9" s="29">
        <v>2018</v>
      </c>
      <c r="C9" s="39">
        <v>46053</v>
      </c>
      <c r="D9" s="39">
        <v>46053</v>
      </c>
      <c r="E9" s="29">
        <v>0</v>
      </c>
      <c r="F9" s="29">
        <v>102000</v>
      </c>
      <c r="G9" s="41" t="s">
        <v>33</v>
      </c>
      <c r="H9" s="42" t="s">
        <v>27</v>
      </c>
      <c r="I9" s="40" t="s">
        <v>30</v>
      </c>
    </row>
    <row r="10" spans="1:9" x14ac:dyDescent="0.25">
      <c r="A10" s="28">
        <v>5992926</v>
      </c>
      <c r="B10" s="29">
        <v>2042</v>
      </c>
      <c r="C10" s="39">
        <v>46053</v>
      </c>
      <c r="D10" s="39">
        <v>46053</v>
      </c>
      <c r="E10" s="29">
        <v>0</v>
      </c>
      <c r="F10" s="29">
        <v>102000</v>
      </c>
      <c r="G10" s="41" t="s">
        <v>33</v>
      </c>
      <c r="H10" s="42" t="s">
        <v>27</v>
      </c>
      <c r="I10" s="40" t="s">
        <v>30</v>
      </c>
    </row>
    <row r="11" spans="1:9" x14ac:dyDescent="0.25">
      <c r="A11" s="28">
        <v>1110515041</v>
      </c>
      <c r="B11" s="29">
        <v>2018</v>
      </c>
      <c r="C11" s="39">
        <v>46053</v>
      </c>
      <c r="D11" s="39">
        <v>46053</v>
      </c>
      <c r="E11" s="29">
        <v>0</v>
      </c>
      <c r="F11" s="29">
        <v>36000</v>
      </c>
      <c r="G11" s="29" t="s">
        <v>34</v>
      </c>
      <c r="H11" s="42" t="s">
        <v>27</v>
      </c>
      <c r="I11" s="27" t="s">
        <v>35</v>
      </c>
    </row>
    <row r="12" spans="1:9" x14ac:dyDescent="0.25">
      <c r="A12" s="28">
        <v>1110515041</v>
      </c>
      <c r="B12" s="29">
        <v>2042</v>
      </c>
      <c r="C12" s="39">
        <v>46053</v>
      </c>
      <c r="D12" s="39">
        <v>46053</v>
      </c>
      <c r="E12" s="29">
        <v>0</v>
      </c>
      <c r="F12" s="29">
        <v>36000</v>
      </c>
      <c r="G12" s="29" t="s">
        <v>34</v>
      </c>
      <c r="H12" s="42" t="s">
        <v>27</v>
      </c>
      <c r="I12" s="27" t="s">
        <v>35</v>
      </c>
    </row>
    <row r="13" spans="1:9" x14ac:dyDescent="0.25">
      <c r="A13" s="28">
        <v>1110515041</v>
      </c>
      <c r="B13" s="29">
        <v>2024</v>
      </c>
      <c r="C13" s="39">
        <v>46053</v>
      </c>
      <c r="D13" s="39">
        <v>46053</v>
      </c>
      <c r="E13" s="29">
        <f>316+214</f>
        <v>530</v>
      </c>
      <c r="F13" s="29">
        <f>607668+411522</f>
        <v>1019190</v>
      </c>
      <c r="G13" s="29" t="s">
        <v>34</v>
      </c>
      <c r="H13" s="42" t="s">
        <v>27</v>
      </c>
      <c r="I13" s="27" t="s">
        <v>35</v>
      </c>
    </row>
    <row r="14" spans="1:9" x14ac:dyDescent="0.25">
      <c r="A14" s="28">
        <v>1110515041</v>
      </c>
      <c r="B14" s="29">
        <v>2028</v>
      </c>
      <c r="C14" s="39">
        <v>46053</v>
      </c>
      <c r="D14" s="39">
        <v>46053</v>
      </c>
      <c r="E14" s="29">
        <v>0</v>
      </c>
      <c r="F14" s="29">
        <f>31400+29200</f>
        <v>60600</v>
      </c>
      <c r="G14" s="29" t="s">
        <v>34</v>
      </c>
      <c r="H14" s="42" t="s">
        <v>27</v>
      </c>
      <c r="I14" s="27" t="s">
        <v>35</v>
      </c>
    </row>
    <row r="15" spans="1:9" x14ac:dyDescent="0.25">
      <c r="A15" s="28">
        <v>1110494320</v>
      </c>
      <c r="B15" s="29">
        <v>2018</v>
      </c>
      <c r="C15" s="39">
        <v>46053</v>
      </c>
      <c r="D15" s="39">
        <v>46053</v>
      </c>
      <c r="E15" s="29">
        <v>0</v>
      </c>
      <c r="F15" s="29">
        <v>48000</v>
      </c>
      <c r="G15" s="29" t="s">
        <v>32</v>
      </c>
      <c r="H15" s="42" t="s">
        <v>27</v>
      </c>
      <c r="I15" s="27" t="s">
        <v>29</v>
      </c>
    </row>
    <row r="16" spans="1:9" x14ac:dyDescent="0.25">
      <c r="A16" s="28">
        <v>1110494320</v>
      </c>
      <c r="B16" s="29">
        <v>2042</v>
      </c>
      <c r="C16" s="39">
        <v>46053</v>
      </c>
      <c r="D16" s="39">
        <v>46053</v>
      </c>
      <c r="E16" s="29">
        <v>0</v>
      </c>
      <c r="F16" s="29">
        <v>48000</v>
      </c>
      <c r="G16" s="29" t="s">
        <v>32</v>
      </c>
      <c r="H16" s="42" t="s">
        <v>27</v>
      </c>
      <c r="I16" s="27" t="s">
        <v>29</v>
      </c>
    </row>
    <row r="17" spans="1:9" x14ac:dyDescent="0.25">
      <c r="A17" s="28">
        <v>1110494320</v>
      </c>
      <c r="B17" s="29">
        <v>2024</v>
      </c>
      <c r="C17" s="39">
        <v>46053</v>
      </c>
      <c r="D17" s="39">
        <v>46053</v>
      </c>
      <c r="E17" s="29">
        <v>300</v>
      </c>
      <c r="F17" s="29">
        <v>576900</v>
      </c>
      <c r="G17" s="29" t="s">
        <v>32</v>
      </c>
      <c r="H17" s="42" t="s">
        <v>27</v>
      </c>
      <c r="I17" s="27" t="s">
        <v>29</v>
      </c>
    </row>
    <row r="18" spans="1:9" x14ac:dyDescent="0.25">
      <c r="A18" s="28">
        <v>1110494320</v>
      </c>
      <c r="B18" s="29">
        <v>2028</v>
      </c>
      <c r="C18" s="39">
        <v>46053</v>
      </c>
      <c r="D18" s="39">
        <v>46053</v>
      </c>
      <c r="E18" s="29">
        <v>0</v>
      </c>
      <c r="F18" s="29">
        <v>31400</v>
      </c>
      <c r="G18" s="29" t="s">
        <v>32</v>
      </c>
      <c r="H18" s="42" t="s">
        <v>27</v>
      </c>
      <c r="I18" s="27" t="s">
        <v>29</v>
      </c>
    </row>
    <row r="19" spans="1:9" x14ac:dyDescent="0.25">
      <c r="A19" s="28">
        <v>93408502</v>
      </c>
      <c r="B19" s="29">
        <v>2018</v>
      </c>
      <c r="C19" s="39">
        <v>46053</v>
      </c>
      <c r="D19" s="39">
        <v>46053</v>
      </c>
      <c r="E19" s="29">
        <v>0</v>
      </c>
      <c r="F19" s="29">
        <v>18000</v>
      </c>
      <c r="G19" s="29" t="s">
        <v>39</v>
      </c>
      <c r="H19" s="42" t="s">
        <v>27</v>
      </c>
      <c r="I19" s="27" t="s">
        <v>31</v>
      </c>
    </row>
    <row r="20" spans="1:9" x14ac:dyDescent="0.25">
      <c r="A20" s="28">
        <v>93408502</v>
      </c>
      <c r="B20" s="29">
        <v>2042</v>
      </c>
      <c r="C20" s="39">
        <v>46053</v>
      </c>
      <c r="D20" s="39">
        <v>46053</v>
      </c>
      <c r="E20" s="29">
        <v>0</v>
      </c>
      <c r="F20" s="29">
        <v>18000</v>
      </c>
      <c r="G20" s="29" t="s">
        <v>39</v>
      </c>
      <c r="H20" s="42" t="s">
        <v>27</v>
      </c>
      <c r="I20" s="27" t="s">
        <v>31</v>
      </c>
    </row>
    <row r="21" spans="1:9" x14ac:dyDescent="0.25">
      <c r="A21" s="28">
        <v>93408502</v>
      </c>
      <c r="B21" s="29">
        <v>2024</v>
      </c>
      <c r="C21" s="39">
        <v>46053</v>
      </c>
      <c r="D21" s="39">
        <v>46053</v>
      </c>
      <c r="E21" s="29">
        <v>260</v>
      </c>
      <c r="F21" s="29">
        <v>499980</v>
      </c>
      <c r="G21" s="29" t="s">
        <v>39</v>
      </c>
      <c r="H21" s="42" t="s">
        <v>27</v>
      </c>
      <c r="I21" s="27" t="s">
        <v>31</v>
      </c>
    </row>
    <row r="22" spans="1:9" x14ac:dyDescent="0.25">
      <c r="A22" s="28">
        <v>93408502</v>
      </c>
      <c r="B22" s="29">
        <v>2028</v>
      </c>
      <c r="C22" s="39">
        <v>46053</v>
      </c>
      <c r="D22" s="39">
        <v>46053</v>
      </c>
      <c r="E22" s="29">
        <v>0</v>
      </c>
      <c r="F22" s="29">
        <f>15700+15700+15700+15700</f>
        <v>62800</v>
      </c>
      <c r="G22" s="29" t="s">
        <v>39</v>
      </c>
      <c r="H22" s="42" t="s">
        <v>27</v>
      </c>
      <c r="I22" s="27" t="s">
        <v>31</v>
      </c>
    </row>
    <row r="23" spans="1:9" x14ac:dyDescent="0.25">
      <c r="A23" s="28">
        <v>1110541614</v>
      </c>
      <c r="B23" s="29">
        <v>2018</v>
      </c>
      <c r="C23" s="39">
        <v>46053</v>
      </c>
      <c r="D23" s="39">
        <v>46053</v>
      </c>
      <c r="E23" s="29">
        <v>0</v>
      </c>
      <c r="F23" s="29">
        <v>18000</v>
      </c>
      <c r="G23" s="29" t="s">
        <v>36</v>
      </c>
      <c r="H23" s="42" t="s">
        <v>27</v>
      </c>
      <c r="I23" s="27" t="s">
        <v>37</v>
      </c>
    </row>
    <row r="24" spans="1:9" x14ac:dyDescent="0.25">
      <c r="A24" s="28">
        <v>1110541614</v>
      </c>
      <c r="B24" s="29">
        <v>2042</v>
      </c>
      <c r="C24" s="39">
        <v>46053</v>
      </c>
      <c r="D24" s="39">
        <v>46053</v>
      </c>
      <c r="E24" s="29">
        <v>0</v>
      </c>
      <c r="F24" s="29">
        <v>18000</v>
      </c>
      <c r="G24" s="29" t="s">
        <v>36</v>
      </c>
      <c r="H24" s="42" t="s">
        <v>27</v>
      </c>
      <c r="I24" s="27" t="s">
        <v>37</v>
      </c>
    </row>
    <row r="25" spans="1:9" x14ac:dyDescent="0.25">
      <c r="A25" s="28">
        <v>1110541614</v>
      </c>
      <c r="B25" s="29">
        <v>2028</v>
      </c>
      <c r="C25" s="39">
        <v>46053</v>
      </c>
      <c r="D25" s="39">
        <v>46053</v>
      </c>
      <c r="E25" s="29">
        <v>0</v>
      </c>
      <c r="F25" s="29">
        <v>96000</v>
      </c>
      <c r="G25" s="29" t="s">
        <v>36</v>
      </c>
      <c r="H25" s="42" t="s">
        <v>27</v>
      </c>
      <c r="I25" s="27" t="s">
        <v>37</v>
      </c>
    </row>
  </sheetData>
  <mergeCells count="2">
    <mergeCell ref="C1:F1"/>
    <mergeCell ref="C2:F3"/>
  </mergeCells>
  <pageMargins left="0.70866141732283472" right="0.70866141732283472" top="0.74803149606299213" bottom="0.74803149606299213" header="0.31496062992125984" footer="0.31496062992125984"/>
  <pageSetup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INSTRUCTIVO</vt:lpstr>
      <vt:lpstr>FORMATO</vt:lpstr>
      <vt:lpstr>FORMATO!Área_de_impresión</vt:lpstr>
      <vt:lpstr>INSTRUCTIVO!Área_de_impresión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BRIYIDH TATIANA BEJARANO POLANIA</dc:creator>
  <cp:lastModifiedBy>GH Tolima</cp:lastModifiedBy>
  <cp:lastPrinted>2020-07-09T16:24:36Z</cp:lastPrinted>
  <dcterms:created xsi:type="dcterms:W3CDTF">2020-05-07T20:42:53Z</dcterms:created>
  <dcterms:modified xsi:type="dcterms:W3CDTF">2026-01-15T20:30:02Z</dcterms:modified>
</cp:coreProperties>
</file>