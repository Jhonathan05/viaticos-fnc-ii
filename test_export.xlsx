
<file path=[Content_Types].xml><?xml version="1.0" encoding="utf-8"?>
<Types xmlns="http://schemas.openxmlformats.org/package/2006/content-types">
  <Default Extension="emf" ContentType="image/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535" activeTab="1"/>
  </bookViews>
  <sheets>
    <sheet sheetId="2" name="INSTRUCTIVO" state="visible" r:id="rId4"/>
    <sheet sheetId="1" name="FORMATO" state="visible" r:id="rId5"/>
  </sheets>
  <definedNames>
    <definedName name="_xlnm.Print_Area" localSheetId="0">'INSTRUCTIVO'!$A1:$J39</definedName>
    <definedName name="_xlnm.Print_Area" localSheetId="1">'FORMATO'!$A1:$H4</definedName>
  </definedNames>
  <calcPr calcId="171027"/>
</workbook>
</file>

<file path=xl/sharedStrings.xml><?xml version="1.0" encoding="utf-8"?>
<sst xmlns="http://schemas.openxmlformats.org/spreadsheetml/2006/main" count="91" uniqueCount="41">
  <si>
    <t>INSTRUCTIVO</t>
  </si>
  <si>
    <t>1.</t>
  </si>
  <si>
    <r>
      <rPr>
        <b/>
        <family val="2"/>
        <scheme val="minor"/>
        <sz val="12"/>
        <rFont val="Calibri"/>
      </rPr>
      <t>CÉDULA:</t>
    </r>
    <r>
      <rPr>
        <family val="2"/>
        <scheme val="minor"/>
        <sz val="12"/>
        <rFont val="Calibri"/>
      </rPr>
      <t xml:space="preserve"> Ingrese número de cédula del trabajador sin comas ni puntos</t>
    </r>
  </si>
  <si>
    <t>2.</t>
  </si>
  <si>
    <r>
      <rPr>
        <b/>
        <family val="2"/>
        <scheme val="minor"/>
        <sz val="12"/>
        <rFont val="Calibri"/>
      </rPr>
      <t>CONCEPTO:</t>
    </r>
    <r>
      <rPr>
        <family val="2"/>
        <scheme val="minor"/>
        <sz val="12"/>
        <rFont val="Calibri"/>
      </rPr>
      <t xml:space="preserve"> Corresponde al código parametrizado en el sistema; se debe ingresar en cada fila la información relacionada.</t>
    </r>
  </si>
  <si>
    <t xml:space="preserve">Los conceptos utilizados para las legalizaciones de las comisiones de trabajo en nómina son los siguientes: </t>
  </si>
  <si>
    <r>
      <t xml:space="preserve">3. FECHA DE PAGO: </t>
    </r>
    <r>
      <rPr>
        <color theme="1"/>
        <family val="2"/>
        <scheme val="minor"/>
        <sz val="12"/>
        <rFont val="Calibri"/>
      </rPr>
      <t>Indique la fecha en la cual se efectúa la compensación. Ultimo día del mes en curso. FORMATO--&gt; DD/MM/AAAA.</t>
    </r>
  </si>
  <si>
    <r>
      <rPr>
        <b/>
        <color theme="1"/>
        <family val="2"/>
        <scheme val="minor"/>
        <sz val="12"/>
        <rFont val="Calibri"/>
      </rPr>
      <t>4. FECHA APLICACIÓN DE NOVEDAD:</t>
    </r>
    <r>
      <rPr>
        <color theme="1"/>
        <family val="2"/>
        <scheme val="minor"/>
        <sz val="12"/>
        <rFont val="Calibri"/>
      </rPr>
      <t xml:space="preserve"> Indique la fecha desde la cual opera la novedad. Ultimo día del mes en curso. FORMATO--&gt; DD/MM/AAAA.</t>
    </r>
  </si>
  <si>
    <r>
      <rPr>
        <b/>
        <color theme="1"/>
        <family val="2"/>
        <scheme val="minor"/>
        <sz val="12"/>
        <rFont val="Calibri"/>
      </rPr>
      <t>5. NÚMERO:</t>
    </r>
    <r>
      <rPr>
        <color theme="1"/>
        <family val="2"/>
        <scheme val="minor"/>
        <sz val="12"/>
        <rFont val="Calibri"/>
      </rPr>
      <t xml:space="preserve"> Columna requerida en el sistema para el cargue. En este caso siempre se debe ingresar el número cero (0).</t>
    </r>
  </si>
  <si>
    <r>
      <rPr>
        <b/>
        <color theme="1"/>
        <family val="2"/>
        <scheme val="minor"/>
        <sz val="12"/>
        <rFont val="Calibri"/>
      </rPr>
      <t>6. VALOR</t>
    </r>
    <r>
      <rPr>
        <b/>
        <family val="2"/>
        <scheme val="minor"/>
        <sz val="12"/>
        <rFont val="Calibri"/>
      </rPr>
      <t xml:space="preserve"> DE CONCEPTO</t>
    </r>
    <r>
      <rPr>
        <b/>
        <color theme="1"/>
        <family val="2"/>
        <scheme val="minor"/>
        <sz val="12"/>
        <rFont val="Calibri"/>
      </rPr>
      <t xml:space="preserve">: </t>
    </r>
    <r>
      <rPr>
        <color theme="1"/>
        <family val="2"/>
        <scheme val="minor"/>
        <sz val="12"/>
        <rFont val="Calibri"/>
      </rPr>
      <t>Se ingresa el valor del concepto a legalizar (</t>
    </r>
    <r>
      <rPr>
        <family val="2"/>
        <scheme val="minor"/>
        <sz val="12"/>
        <rFont val="Calibri"/>
      </rPr>
      <t>El valor no debe tener puntos, comas, espacios o formato de moneda).</t>
    </r>
  </si>
  <si>
    <r>
      <t>7. OBSERVACIÓN DE LEGALIZACIÓN:</t>
    </r>
    <r>
      <rPr>
        <color theme="1"/>
        <family val="2"/>
        <scheme val="minor"/>
        <sz val="12"/>
        <rFont val="Calibri"/>
      </rPr>
      <t xml:space="preserve"> Se debe indicar el lugar, fechas del viaje y número de anticipo de haber solicitado,</t>
    </r>
  </si>
  <si>
    <t xml:space="preserve">    incluir un (*)al inicio del documento del anticipo. Ejemplo:  Cali del 4 al 8 *30005467898</t>
  </si>
  <si>
    <r>
      <rPr>
        <b/>
        <color theme="1"/>
        <family val="2"/>
        <scheme val="minor"/>
        <sz val="12"/>
        <rFont val="Calibri"/>
      </rPr>
      <t>8. DESTINO:</t>
    </r>
    <r>
      <rPr>
        <color theme="1"/>
        <family val="2"/>
        <scheme val="minor"/>
        <sz val="12"/>
        <rFont val="Calibri"/>
      </rPr>
      <t xml:space="preserve">  Marque </t>
    </r>
    <r>
      <rPr>
        <b/>
        <color theme="1"/>
        <family val="2"/>
        <scheme val="minor"/>
        <sz val="12"/>
        <rFont val="Calibri"/>
      </rPr>
      <t>N</t>
    </r>
    <r>
      <rPr>
        <color theme="1"/>
        <family val="2"/>
        <scheme val="minor"/>
        <sz val="12"/>
        <rFont val="Calibri"/>
      </rPr>
      <t xml:space="preserve"> si la comisión fue nacional o</t>
    </r>
    <r>
      <rPr>
        <b/>
        <color theme="1"/>
        <family val="2"/>
        <scheme val="minor"/>
        <sz val="12"/>
        <rFont val="Calibri"/>
      </rPr>
      <t xml:space="preserve"> E</t>
    </r>
    <r>
      <rPr>
        <color theme="1"/>
        <family val="2"/>
        <scheme val="minor"/>
        <sz val="12"/>
        <rFont val="Calibri"/>
      </rPr>
      <t xml:space="preserve"> si fue al exterior. </t>
    </r>
  </si>
  <si>
    <t>FEDERACIÓN NACIONAL DE CAFETEROS DE COLOMBIA</t>
  </si>
  <si>
    <t>CÓDIGO:</t>
  </si>
  <si>
    <t>FE-GH-F-0157</t>
  </si>
  <si>
    <t>LEGALIZACIÓN COMISIONES DE TRABAJO DEPENDENCIAS</t>
  </si>
  <si>
    <t>FECHA:</t>
  </si>
  <si>
    <t>VERSIÓN:</t>
  </si>
  <si>
    <t xml:space="preserve">1
Cédula Empleado</t>
  </si>
  <si>
    <t xml:space="preserve">2
Concepto</t>
  </si>
  <si>
    <t xml:space="preserve">3
Fecha de Pago (Ultimo día del mes de nómina)</t>
  </si>
  <si>
    <t xml:space="preserve">4
Fecha Aplica Novedad (Ultimo día del mes de nómina)</t>
  </si>
  <si>
    <t xml:space="preserve">5
Número (siempre incluir el número 0)</t>
  </si>
  <si>
    <t xml:space="preserve">6
Valor anticipo o gasto</t>
  </si>
  <si>
    <t xml:space="preserve">7
Observación de Legalización</t>
  </si>
  <si>
    <t xml:space="preserve">8
Destino</t>
  </si>
  <si>
    <t>12345</t>
  </si>
  <si>
    <t>IBAGUE VENADILLO JUNIN VENADILLO IBAGUE EL 18</t>
  </si>
  <si>
    <t>N</t>
  </si>
  <si>
    <t>FERNANDO PEREZ</t>
  </si>
  <si>
    <t>IBAGUE ORTEGA EL 2 EL 13 IBAGUE PLANADAS DEL 13 AL 14 IBAGUE LIBANO EL 18</t>
  </si>
  <si>
    <t>GILDARDO MONROY</t>
  </si>
  <si>
    <t>IBAGUE CASABIANCA IBAGUE EL 10 IBAGUE PRADO IBAGUE EL 11</t>
  </si>
  <si>
    <t>JUAN CAMILO SANDOVAL</t>
  </si>
  <si>
    <t>IBAGUE CAJAMARCA IBAGUE EL 15 IBAGUE ORTEGA IBAGUE EL 21</t>
  </si>
  <si>
    <t>JESSICA CABEZAS</t>
  </si>
  <si>
    <t>IBAGUE LIBANO IBAGUE EL 10</t>
  </si>
  <si>
    <t>CARLOS ANDRES CUARTAS</t>
  </si>
  <si>
    <t>IBAGUE RIOBLANCO IBAGUE EL 18 DE NOVIEMBRE</t>
  </si>
  <si>
    <t>JHONATHAN ARMANDO CAMARGO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</si>
</sst>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4"/>
      <name val="Calibri"/>
    </font>
    <font>
      <color theme="0"/>
      <family val="2"/>
      <scheme val="minor"/>
      <sz val="14"/>
      <name val="Calibri"/>
    </font>
    <font>
      <b/>
      <family val="2"/>
      <scheme val="minor"/>
      <sz val="12"/>
      <name val="Calibri"/>
    </font>
    <font>
      <family val="2"/>
      <scheme val="minor"/>
      <sz val="12"/>
      <name val="Calibri"/>
    </font>
    <font>
      <color theme="1"/>
      <family val="2"/>
      <scheme val="minor"/>
      <sz val="12"/>
      <name val="Calibri"/>
    </font>
    <font>
      <b/>
      <family val="2"/>
      <scheme val="minor"/>
      <sz val="11"/>
      <name val="Calibri"/>
    </font>
    <font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family val="2"/>
      <sz val="9"/>
      <name val="Tahoma"/>
    </font>
    <font>
      <family val="2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indexed="26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4" borderId="6" xfId="0" applyFont="1" applyFill="1" applyBorder="1"/>
    <xf numFmtId="0" fontId="4" fillId="4" borderId="7" xfId="0" applyFont="1" applyFill="1" applyBorder="1" applyAlignment="1">
      <alignment horizontal="left"/>
    </xf>
    <xf numFmtId="0" fontId="5" fillId="0" borderId="0" xfId="0" applyFont="1"/>
    <xf numFmtId="0" fontId="6" fillId="4" borderId="6" xfId="0" applyFont="1" applyFill="1" applyBorder="1"/>
    <xf numFmtId="0" fontId="7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8" fillId="0" borderId="0" xfId="0" applyFont="1"/>
    <xf numFmtId="14" fontId="0" fillId="0" borderId="0" xfId="0" applyNumberFormat="1"/>
    <xf numFmtId="0" fontId="0" fillId="0" borderId="6" xfId="0" applyBorder="1"/>
    <xf numFmtId="0" fontId="9" fillId="2" borderId="0" xfId="0" applyFont="1" applyFill="1"/>
    <xf numFmtId="0" fontId="10" fillId="0" borderId="6" xfId="0" applyFont="1" applyBorder="1"/>
    <xf numFmtId="0" fontId="5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0" xfId="0" applyFill="1"/>
    <xf numFmtId="0" fontId="0" fillId="5" borderId="6" xfId="0" applyFill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4" xfId="0" applyNumberFormat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1" fillId="6" borderId="11" xfId="0" applyFont="1" applyFill="1" applyBorder="1" applyAlignment="1" applyProtection="1">
      <alignment horizontal="center" vertical="center" wrapText="1"/>
      <protection hidden="1"/>
    </xf>
    <xf numFmtId="0" fontId="11" fillId="6" borderId="12" xfId="0" applyFont="1" applyFill="1" applyBorder="1" applyAlignment="1" applyProtection="1">
      <alignment horizontal="center" vertical="center" wrapText="1"/>
      <protection hidden="1"/>
    </xf>
    <xf numFmtId="0" fontId="12" fillId="6" borderId="13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8</xdr:row>
      <xdr:rowOff>28575</xdr:rowOff>
    </xdr:from>
    <xdr:to>
      <xdr:col>10</xdr:col>
      <xdr:colOff>142875</xdr:colOff>
      <xdr:row>29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0</xdr:rowOff>
    </xdr:from>
    <xdr:to>
      <xdr:col>1</xdr:col>
      <xdr:colOff>781050</xdr:colOff>
      <xdr:row>2</xdr:row>
      <xdr:rowOff>285750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workbookViewId="0" showGridLines="0" zoomScale="100" zoomScaleNormal="100">
      <selection activeCell="D25" sqref="D25"/>
    </sheetView>
  </sheetViews>
  <sheetFormatPr defaultRowHeight="15" outlineLevelRow="0" outlineLevelCol="0" x14ac:dyDescent="0.25" defaultColWidth="11.42578125"/>
  <cols>
    <col min="1" max="1" width="11.85546875" style="18" customWidth="1"/>
    <col min="2" max="2" width="12.5703125" customWidth="1"/>
    <col min="3" max="3" width="16.5703125" customWidth="1"/>
    <col min="4" max="4" width="13.5703125" customWidth="1"/>
    <col min="5" max="5" width="13" customWidth="1"/>
    <col min="6" max="6" width="13.5703125" customWidth="1"/>
    <col min="7" max="7" width="75.42578125" customWidth="1"/>
    <col min="8" max="8" width="14.28515625" style="24" customWidth="1"/>
    <col min="9" max="24" width="11.42578125" style="25" customWidth="1"/>
    <col min="25" max="16384" width="11.42578125" style="1" customWidth="1"/>
  </cols>
  <sheetData>
    <row r="1" ht="24.75" customHeight="1" spans="1:8" x14ac:dyDescent="0.25">
      <c r="A1" s="26">
        <v>10275366</v>
      </c>
      <c r="C1" s="27" t="s">
        <v>13</v>
      </c>
      <c r="D1" s="28"/>
      <c r="E1" s="28"/>
      <c r="F1" s="29"/>
      <c r="G1" s="30" t="s">
        <v>14</v>
      </c>
      <c r="H1" s="31" t="s">
        <v>15</v>
      </c>
    </row>
    <row r="2" ht="24.75" customHeight="1" spans="1:8" x14ac:dyDescent="0.25">
      <c r="A2" s="18"/>
      <c r="C2" s="32" t="s">
        <v>16</v>
      </c>
      <c r="D2" s="33"/>
      <c r="E2" s="33"/>
      <c r="F2" s="34"/>
      <c r="G2" s="30" t="s">
        <v>17</v>
      </c>
      <c r="H2" s="35">
        <v>43964</v>
      </c>
    </row>
    <row r="3" ht="24.75" customHeight="1" spans="1:8" x14ac:dyDescent="0.25">
      <c r="A3" s="18"/>
      <c r="C3" s="36"/>
      <c r="D3" s="37"/>
      <c r="E3" s="37"/>
      <c r="F3" s="38"/>
      <c r="G3" s="30" t="s">
        <v>18</v>
      </c>
      <c r="H3" s="39">
        <v>1</v>
      </c>
    </row>
    <row r="4" ht="57" customHeight="1" spans="1:9" x14ac:dyDescent="0.25">
      <c r="A4" s="40" t="s">
        <v>19</v>
      </c>
      <c r="B4" s="41" t="s">
        <v>20</v>
      </c>
      <c r="C4" s="41" t="s">
        <v>21</v>
      </c>
      <c r="D4" s="41" t="s">
        <v>22</v>
      </c>
      <c r="E4" s="41" t="s">
        <v>23</v>
      </c>
      <c r="F4" s="41" t="s">
        <v>24</v>
      </c>
      <c r="G4" s="41" t="s">
        <v>25</v>
      </c>
      <c r="H4" s="42" t="s">
        <v>26</v>
      </c>
      <c r="I4" s="25"/>
    </row>
    <row r="5" spans="1:9" s="25" customFormat="1" x14ac:dyDescent="0.25">
      <c r="A5" s="18" t="s">
        <v>27</v>
      </c>
      <c r="B5">
        <v>2018</v>
      </c>
      <c r="C5" s="17">
        <v>46053</v>
      </c>
      <c r="D5" s="17">
        <v>46053</v>
      </c>
      <c r="E5">
        <v>0</v>
      </c>
      <c r="F5">
        <v>18000</v>
      </c>
      <c r="G5" s="43" t="s">
        <v>28</v>
      </c>
      <c r="H5" s="44" t="s">
        <v>29</v>
      </c>
      <c r="I5" t="s">
        <v>30</v>
      </c>
    </row>
    <row r="6" spans="1:9" s="25" customFormat="1" x14ac:dyDescent="0.25">
      <c r="A6" s="18">
        <v>93387546</v>
      </c>
      <c r="B6">
        <v>2042</v>
      </c>
      <c r="C6" s="17">
        <v>46053</v>
      </c>
      <c r="D6" s="17">
        <v>46053</v>
      </c>
      <c r="E6">
        <v>0</v>
      </c>
      <c r="F6">
        <v>18000</v>
      </c>
      <c r="G6" s="43" t="s">
        <v>28</v>
      </c>
      <c r="H6" s="44" t="s">
        <v>29</v>
      </c>
      <c r="I6" t="s">
        <v>30</v>
      </c>
    </row>
    <row r="7" spans="1:9" s="25" customFormat="1" x14ac:dyDescent="0.25">
      <c r="A7" s="18">
        <v>93387546</v>
      </c>
      <c r="B7">
        <v>2024</v>
      </c>
      <c r="C7" s="17">
        <v>46053</v>
      </c>
      <c r="D7" s="17">
        <v>46053</v>
      </c>
      <c r="E7">
        <v>156</v>
      </c>
      <c r="F7">
        <v>299988</v>
      </c>
      <c r="G7" s="43" t="s">
        <v>28</v>
      </c>
      <c r="H7" s="44" t="s">
        <v>29</v>
      </c>
      <c r="I7" t="s">
        <v>30</v>
      </c>
    </row>
    <row r="8" spans="1:9" s="25" customFormat="1" x14ac:dyDescent="0.25">
      <c r="A8" s="18">
        <v>93387546</v>
      </c>
      <c r="B8">
        <v>2028</v>
      </c>
      <c r="C8" s="17">
        <v>46053</v>
      </c>
      <c r="D8" s="17">
        <v>46053</v>
      </c>
      <c r="E8">
        <v>0</v>
      </c>
      <c r="F8">
        <v>31400</v>
      </c>
      <c r="G8" s="43" t="s">
        <v>28</v>
      </c>
      <c r="H8" s="44" t="s">
        <v>29</v>
      </c>
      <c r="I8" t="s">
        <v>30</v>
      </c>
    </row>
    <row r="9" spans="1:9" x14ac:dyDescent="0.25">
      <c r="A9" s="18">
        <v>5992926</v>
      </c>
      <c r="B9">
        <v>2018</v>
      </c>
      <c r="C9" s="17">
        <v>46053</v>
      </c>
      <c r="D9" s="17">
        <v>46053</v>
      </c>
      <c r="E9">
        <v>0</v>
      </c>
      <c r="F9">
        <v>102000</v>
      </c>
      <c r="G9" s="43" t="s">
        <v>31</v>
      </c>
      <c r="H9" s="44" t="s">
        <v>29</v>
      </c>
      <c r="I9" t="s">
        <v>32</v>
      </c>
    </row>
    <row r="10" spans="1:9" x14ac:dyDescent="0.25">
      <c r="A10" s="18">
        <v>5992926</v>
      </c>
      <c r="B10">
        <v>2042</v>
      </c>
      <c r="C10" s="17">
        <v>46053</v>
      </c>
      <c r="D10" s="17">
        <v>46053</v>
      </c>
      <c r="E10">
        <v>0</v>
      </c>
      <c r="F10">
        <v>102000</v>
      </c>
      <c r="G10" s="43" t="s">
        <v>31</v>
      </c>
      <c r="H10" s="44" t="s">
        <v>29</v>
      </c>
      <c r="I10" t="s">
        <v>32</v>
      </c>
    </row>
    <row r="11" spans="1:9" x14ac:dyDescent="0.25">
      <c r="A11" s="18">
        <v>1110515041</v>
      </c>
      <c r="B11">
        <v>2018</v>
      </c>
      <c r="C11" s="17">
        <v>46053</v>
      </c>
      <c r="D11" s="17">
        <v>46053</v>
      </c>
      <c r="E11">
        <v>0</v>
      </c>
      <c r="F11">
        <v>36000</v>
      </c>
      <c r="G11" t="s">
        <v>33</v>
      </c>
      <c r="H11" s="44" t="s">
        <v>29</v>
      </c>
      <c r="I11" s="25" t="s">
        <v>34</v>
      </c>
    </row>
    <row r="12" spans="1:9" x14ac:dyDescent="0.25">
      <c r="A12" s="18">
        <v>1110515041</v>
      </c>
      <c r="B12">
        <v>2042</v>
      </c>
      <c r="C12" s="17">
        <v>46053</v>
      </c>
      <c r="D12" s="17">
        <v>46053</v>
      </c>
      <c r="E12">
        <v>0</v>
      </c>
      <c r="F12">
        <v>36000</v>
      </c>
      <c r="G12" t="s">
        <v>33</v>
      </c>
      <c r="H12" s="44" t="s">
        <v>29</v>
      </c>
      <c r="I12" s="25" t="s">
        <v>34</v>
      </c>
    </row>
    <row r="13" spans="1:9" x14ac:dyDescent="0.25">
      <c r="A13" s="18">
        <v>1110515041</v>
      </c>
      <c r="B13">
        <v>2024</v>
      </c>
      <c r="C13" s="17">
        <v>46053</v>
      </c>
      <c r="D13" s="17">
        <v>46053</v>
      </c>
      <c r="E13">
        <f>316+214</f>
        <v>530</v>
      </c>
      <c r="F13">
        <f>607668+411522</f>
        <v>1019190</v>
      </c>
      <c r="G13" t="s">
        <v>33</v>
      </c>
      <c r="H13" s="44" t="s">
        <v>29</v>
      </c>
      <c r="I13" s="25" t="s">
        <v>34</v>
      </c>
    </row>
    <row r="14" spans="1:9" x14ac:dyDescent="0.25">
      <c r="A14" s="18">
        <v>1110515041</v>
      </c>
      <c r="B14">
        <v>2028</v>
      </c>
      <c r="C14" s="17">
        <v>46053</v>
      </c>
      <c r="D14" s="17">
        <v>46053</v>
      </c>
      <c r="E14">
        <v>0</v>
      </c>
      <c r="F14">
        <f>31400+29200</f>
        <v>60600</v>
      </c>
      <c r="G14" t="s">
        <v>33</v>
      </c>
      <c r="H14" s="44" t="s">
        <v>29</v>
      </c>
      <c r="I14" s="25" t="s">
        <v>34</v>
      </c>
    </row>
    <row r="15" spans="1:9" x14ac:dyDescent="0.25">
      <c r="A15" s="18">
        <v>1110494320</v>
      </c>
      <c r="B15">
        <v>2018</v>
      </c>
      <c r="C15" s="17">
        <v>46053</v>
      </c>
      <c r="D15" s="17">
        <v>46053</v>
      </c>
      <c r="E15">
        <v>0</v>
      </c>
      <c r="F15">
        <v>48000</v>
      </c>
      <c r="G15" t="s">
        <v>35</v>
      </c>
      <c r="H15" s="44" t="s">
        <v>29</v>
      </c>
      <c r="I15" s="25" t="s">
        <v>36</v>
      </c>
    </row>
    <row r="16" spans="1:9" x14ac:dyDescent="0.25">
      <c r="A16" s="18">
        <v>1110494320</v>
      </c>
      <c r="B16">
        <v>2042</v>
      </c>
      <c r="C16" s="17">
        <v>46053</v>
      </c>
      <c r="D16" s="17">
        <v>46053</v>
      </c>
      <c r="E16">
        <v>0</v>
      </c>
      <c r="F16">
        <v>48000</v>
      </c>
      <c r="G16" t="s">
        <v>35</v>
      </c>
      <c r="H16" s="44" t="s">
        <v>29</v>
      </c>
      <c r="I16" s="25" t="s">
        <v>36</v>
      </c>
    </row>
    <row r="17" spans="1:9" x14ac:dyDescent="0.25">
      <c r="A17" s="18">
        <v>1110494320</v>
      </c>
      <c r="B17">
        <v>2024</v>
      </c>
      <c r="C17" s="17">
        <v>46053</v>
      </c>
      <c r="D17" s="17">
        <v>46053</v>
      </c>
      <c r="E17">
        <v>300</v>
      </c>
      <c r="F17">
        <v>576900</v>
      </c>
      <c r="G17" t="s">
        <v>35</v>
      </c>
      <c r="H17" s="44" t="s">
        <v>29</v>
      </c>
      <c r="I17" s="25" t="s">
        <v>36</v>
      </c>
    </row>
    <row r="18" spans="1:9" x14ac:dyDescent="0.25">
      <c r="A18" s="18">
        <v>1110494320</v>
      </c>
      <c r="B18">
        <v>2028</v>
      </c>
      <c r="C18" s="17">
        <v>46053</v>
      </c>
      <c r="D18" s="17">
        <v>46053</v>
      </c>
      <c r="E18">
        <v>0</v>
      </c>
      <c r="F18">
        <v>31400</v>
      </c>
      <c r="G18" t="s">
        <v>35</v>
      </c>
      <c r="H18" s="44" t="s">
        <v>29</v>
      </c>
      <c r="I18" s="25" t="s">
        <v>36</v>
      </c>
    </row>
    <row r="19" spans="1:9" x14ac:dyDescent="0.25">
      <c r="A19" s="18">
        <v>93408502</v>
      </c>
      <c r="B19">
        <v>2018</v>
      </c>
      <c r="C19" s="17">
        <v>46053</v>
      </c>
      <c r="D19" s="17">
        <v>46053</v>
      </c>
      <c r="E19">
        <v>0</v>
      </c>
      <c r="F19">
        <v>18000</v>
      </c>
      <c r="G19" t="s">
        <v>37</v>
      </c>
      <c r="H19" s="44" t="s">
        <v>29</v>
      </c>
      <c r="I19" s="25" t="s">
        <v>38</v>
      </c>
    </row>
    <row r="20" spans="1:9" x14ac:dyDescent="0.25">
      <c r="A20" s="18">
        <v>93408502</v>
      </c>
      <c r="B20">
        <v>2042</v>
      </c>
      <c r="C20" s="17">
        <v>46053</v>
      </c>
      <c r="D20" s="17">
        <v>46053</v>
      </c>
      <c r="E20">
        <v>0</v>
      </c>
      <c r="F20">
        <v>18000</v>
      </c>
      <c r="G20" t="s">
        <v>37</v>
      </c>
      <c r="H20" s="44" t="s">
        <v>29</v>
      </c>
      <c r="I20" s="25" t="s">
        <v>38</v>
      </c>
    </row>
    <row r="21" spans="1:9" x14ac:dyDescent="0.25">
      <c r="A21" s="18">
        <v>93408502</v>
      </c>
      <c r="B21">
        <v>2024</v>
      </c>
      <c r="C21" s="17">
        <v>46053</v>
      </c>
      <c r="D21" s="17">
        <v>46053</v>
      </c>
      <c r="E21">
        <v>260</v>
      </c>
      <c r="F21">
        <v>499980</v>
      </c>
      <c r="G21" t="s">
        <v>37</v>
      </c>
      <c r="H21" s="44" t="s">
        <v>29</v>
      </c>
      <c r="I21" s="25" t="s">
        <v>38</v>
      </c>
    </row>
    <row r="22" spans="1:9" x14ac:dyDescent="0.25">
      <c r="A22" s="18">
        <v>93408502</v>
      </c>
      <c r="B22">
        <v>2028</v>
      </c>
      <c r="C22" s="17">
        <v>46053</v>
      </c>
      <c r="D22" s="17">
        <v>46053</v>
      </c>
      <c r="E22">
        <v>0</v>
      </c>
      <c r="F22">
        <f>15700+15700+15700+15700</f>
        <v>62800</v>
      </c>
      <c r="G22" t="s">
        <v>37</v>
      </c>
      <c r="H22" s="44" t="s">
        <v>29</v>
      </c>
      <c r="I22" s="25" t="s">
        <v>38</v>
      </c>
    </row>
    <row r="23" spans="1:9" x14ac:dyDescent="0.25">
      <c r="A23" s="18">
        <v>1110541614</v>
      </c>
      <c r="B23">
        <v>2018</v>
      </c>
      <c r="C23" s="17">
        <v>46053</v>
      </c>
      <c r="D23" s="17">
        <v>46053</v>
      </c>
      <c r="E23">
        <v>0</v>
      </c>
      <c r="F23">
        <v>18000</v>
      </c>
      <c r="G23" t="s">
        <v>39</v>
      </c>
      <c r="H23" s="44" t="s">
        <v>29</v>
      </c>
      <c r="I23" s="25" t="s">
        <v>40</v>
      </c>
    </row>
    <row r="24" spans="1:9" x14ac:dyDescent="0.25">
      <c r="A24" s="18">
        <v>1110541614</v>
      </c>
      <c r="B24">
        <v>2042</v>
      </c>
      <c r="C24" s="17">
        <v>46053</v>
      </c>
      <c r="D24" s="17">
        <v>46053</v>
      </c>
      <c r="E24">
        <v>0</v>
      </c>
      <c r="F24">
        <v>18000</v>
      </c>
      <c r="G24" t="s">
        <v>39</v>
      </c>
      <c r="H24" s="44" t="s">
        <v>29</v>
      </c>
      <c r="I24" s="25" t="s">
        <v>40</v>
      </c>
    </row>
    <row r="25" spans="1:9" x14ac:dyDescent="0.25">
      <c r="A25" s="18">
        <v>1110541614</v>
      </c>
      <c r="B25">
        <v>2028</v>
      </c>
      <c r="C25" s="17">
        <v>46053</v>
      </c>
      <c r="D25" s="17">
        <v>46053</v>
      </c>
      <c r="E25">
        <v>0</v>
      </c>
      <c r="F25">
        <v>96000</v>
      </c>
      <c r="G25" t="s">
        <v>39</v>
      </c>
      <c r="H25" s="44" t="s">
        <v>29</v>
      </c>
      <c r="I25" s="25" t="s">
        <v>40</v>
      </c>
    </row>
  </sheetData>
  <mergeCells count="2">
    <mergeCell ref="C1:F1"/>
    <mergeCell ref="C2:F3"/>
  </mergeCells>
  <pageMargins left="0.7086614173228347" right="0.7086614173228347" top="0.7480314960629921" bottom="0.7480314960629921" header="0.31496062992125984" footer="0.31496062992125984"/>
  <pageSetup orientation="landscape" horizontalDpi="4294967295" verticalDpi="4294967295" scale="71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workbookViewId="0" showGridLines="0" zoomScale="100" zoomScaleNormal="100">
      <selection activeCell="D32" sqref="D32"/>
    </sheetView>
  </sheetViews>
  <sheetFormatPr defaultRowHeight="15" outlineLevelRow="0" outlineLevelCol="0" x14ac:dyDescent="0.25" defaultColWidth="11.42578125"/>
  <cols>
    <col min="1" max="1" width="4.5703125" style="1" customWidth="1"/>
    <col min="2" max="2" width="11.42578125" style="1" customWidth="1"/>
    <col min="3" max="3" width="15.85546875" style="1" customWidth="1"/>
    <col min="4" max="5" width="11.42578125" style="1" customWidth="1"/>
    <col min="6" max="6" width="15.28515625" style="1" customWidth="1"/>
    <col min="7" max="8" width="11.42578125" style="1" customWidth="1"/>
    <col min="9" max="9" width="32" style="1" customWidth="1"/>
    <col min="10" max="16384" width="11.42578125" style="1" customWidth="1"/>
  </cols>
  <sheetData>
    <row r="1" ht="15.75" customHeight="1" spans="1:10" x14ac:dyDescent="0.25">
      <c r="A1" s="2"/>
      <c r="B1" s="3"/>
      <c r="C1" s="3"/>
      <c r="D1" s="3"/>
      <c r="E1" s="3"/>
      <c r="F1" s="3"/>
      <c r="G1" s="3"/>
      <c r="H1" s="3"/>
      <c r="I1" s="3"/>
      <c r="J1" s="3"/>
    </row>
    <row r="2" ht="19.5" customHeight="1" spans="1:12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6"/>
      <c r="K2" s="1"/>
      <c r="L2" s="1"/>
    </row>
    <row r="3" ht="18.75" customHeight="1" spans="1:12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9"/>
      <c r="L3" s="9"/>
    </row>
    <row r="4" ht="15.75" customHeight="1" spans="1:10" x14ac:dyDescent="0.25">
      <c r="A4" s="10" t="s">
        <v>1</v>
      </c>
      <c r="B4" s="11" t="s">
        <v>2</v>
      </c>
      <c r="C4" s="12"/>
      <c r="D4" s="12"/>
    </row>
    <row r="5" ht="15.75" customHeight="1" spans="1:10" x14ac:dyDescent="0.25">
      <c r="A5" s="10" t="s">
        <v>3</v>
      </c>
      <c r="B5" s="11" t="s">
        <v>4</v>
      </c>
      <c r="C5" s="12"/>
      <c r="D5" s="12"/>
    </row>
    <row r="6" ht="11.25" customHeight="1" spans="1:10" x14ac:dyDescent="0.25">
      <c r="A6" s="13"/>
      <c r="B6" s="14"/>
    </row>
    <row r="7" ht="15.75" customHeight="1" spans="1:10" x14ac:dyDescent="0.25">
      <c r="A7" s="13"/>
      <c r="B7" s="15" t="s">
        <v>5</v>
      </c>
      <c r="D7" s="16"/>
      <c r="E7" s="17"/>
      <c r="F7" s="17"/>
    </row>
    <row r="8" spans="1:10" x14ac:dyDescent="0.25">
      <c r="A8" s="13"/>
      <c r="D8" s="16"/>
      <c r="E8" s="17"/>
      <c r="F8" s="17"/>
    </row>
    <row r="9" spans="1:10" x14ac:dyDescent="0.25">
      <c r="A9" s="18"/>
    </row>
    <row r="10" ht="17.25" customHeight="1" spans="1:10" x14ac:dyDescent="0.25">
      <c r="A10" s="18"/>
    </row>
    <row r="11" spans="1:10" x14ac:dyDescent="0.25">
      <c r="A11" s="18"/>
    </row>
    <row r="12" spans="1:10" x14ac:dyDescent="0.25">
      <c r="A12" s="18"/>
    </row>
    <row r="13" spans="1:10" x14ac:dyDescent="0.25">
      <c r="A13" s="18"/>
    </row>
    <row r="14" spans="1:10" x14ac:dyDescent="0.25">
      <c r="A14" s="18"/>
    </row>
    <row r="15" spans="1:10" x14ac:dyDescent="0.25">
      <c r="A15" s="18"/>
    </row>
    <row r="16" spans="1:10" x14ac:dyDescent="0.25">
      <c r="A16" s="18"/>
    </row>
    <row r="17" spans="1:10" x14ac:dyDescent="0.25">
      <c r="A17" s="18"/>
    </row>
    <row r="18" spans="1:10" x14ac:dyDescent="0.25">
      <c r="A18" s="18"/>
    </row>
    <row r="19" spans="1:11" x14ac:dyDescent="0.25">
      <c r="A19" s="18"/>
      <c r="K19" s="19"/>
    </row>
    <row r="20" spans="1:10" x14ac:dyDescent="0.25">
      <c r="A20" s="18"/>
    </row>
    <row r="21" spans="1:10" x14ac:dyDescent="0.25">
      <c r="A21" s="18"/>
    </row>
    <row r="22" spans="1:10" x14ac:dyDescent="0.25">
      <c r="A22" s="18"/>
    </row>
    <row r="23" spans="1:10" x14ac:dyDescent="0.25">
      <c r="A23" s="18"/>
    </row>
    <row r="24" spans="1:10" x14ac:dyDescent="0.25">
      <c r="A24" s="18"/>
    </row>
    <row r="25" spans="1:10" x14ac:dyDescent="0.25">
      <c r="A25" s="18"/>
    </row>
    <row r="26" spans="1:10" x14ac:dyDescent="0.25">
      <c r="A26" s="18"/>
    </row>
    <row r="27" spans="1:11" x14ac:dyDescent="0.25">
      <c r="A27" s="18"/>
      <c r="K27" s="19"/>
    </row>
    <row r="28" spans="1:10" x14ac:dyDescent="0.25">
      <c r="A28" s="18"/>
    </row>
    <row r="29" spans="1:11" x14ac:dyDescent="0.25">
      <c r="A29" s="18"/>
      <c r="K29" s="19"/>
    </row>
    <row r="30" spans="1:11" x14ac:dyDescent="0.25">
      <c r="A30" s="18"/>
      <c r="K30" s="19"/>
    </row>
    <row r="31" ht="15.75" customHeight="1" spans="1:10" x14ac:dyDescent="0.25">
      <c r="A31" s="20" t="s">
        <v>6</v>
      </c>
      <c r="B31" s="12"/>
      <c r="C31" s="12"/>
    </row>
    <row r="32" ht="15.75" customHeight="1" spans="1:10" x14ac:dyDescent="0.25">
      <c r="A32" s="21" t="s">
        <v>7</v>
      </c>
      <c r="B32" s="12"/>
      <c r="C32" s="12"/>
    </row>
    <row r="33" ht="15.75" customHeight="1" spans="1:10" x14ac:dyDescent="0.25">
      <c r="A33" s="21" t="s">
        <v>8</v>
      </c>
      <c r="B33" s="12"/>
      <c r="C33" s="12"/>
    </row>
    <row r="34" ht="15.75" customHeight="1" spans="1:10" x14ac:dyDescent="0.25">
      <c r="A34" s="21" t="s">
        <v>9</v>
      </c>
      <c r="B34" s="12"/>
      <c r="C34" s="12"/>
    </row>
    <row r="35" ht="15.75" customHeight="1" spans="1:10" x14ac:dyDescent="0.25">
      <c r="A35" s="20" t="s">
        <v>10</v>
      </c>
      <c r="B35" s="12"/>
      <c r="C35" s="12"/>
    </row>
    <row r="36" ht="15.75" customHeight="1" spans="1:10" x14ac:dyDescent="0.25">
      <c r="A36" s="21" t="s">
        <v>11</v>
      </c>
      <c r="B36" s="12"/>
      <c r="C36" s="12"/>
    </row>
    <row r="37" ht="15.75" customHeight="1" spans="1:10" x14ac:dyDescent="0.25">
      <c r="A37" s="21" t="s">
        <v>12</v>
      </c>
      <c r="B37" s="12"/>
      <c r="C37" s="12"/>
    </row>
    <row r="38" ht="15.75" customHeight="1" spans="1:10" x14ac:dyDescent="0.25">
      <c r="A38" s="22"/>
      <c r="B38" s="23"/>
      <c r="C38" s="23"/>
      <c r="D38" s="23"/>
      <c r="E38" s="23"/>
      <c r="F38" s="23"/>
      <c r="G38" s="23"/>
      <c r="H38" s="23"/>
      <c r="I38" s="23"/>
      <c r="J38" s="23"/>
    </row>
  </sheetData>
  <mergeCells count="1">
    <mergeCell ref="A2:J2"/>
  </mergeCells>
  <pageMargins left="0.7086614173228347" right="0.7086614173228347" top="0.7480314960629921" bottom="0.7480314960629921" header="0.31496062992125984" footer="0.31496062992125984"/>
  <pageSetup orientation="portrait" horizontalDpi="4294967295" verticalDpi="4294967295" scale="66" fitToWidth="1" fitToHeight="1" firstPageNumber="1" useFirstPageNumber="1" copies="1"/>
  <headerFooter>
    <oddHeader>&amp;C&amp;14INTRUCTIVO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INSTRUCTIVO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BRIYIDH TATIANA BEJARANO POLANIA</dc:creator>
  <cp:lastModifiedBy>GH Tolima</cp:lastModifiedBy>
  <cp:lastPrinted>2020-07-09T16:24:36Z</cp:lastPrinted>
  <dcterms:created xsi:type="dcterms:W3CDTF">2020-05-07T20:42:53Z</dcterms:created>
  <dcterms:modified xsi:type="dcterms:W3CDTF">2026-01-15T20:30:02Z</dcterms:modified>
</cp:coreProperties>
</file>